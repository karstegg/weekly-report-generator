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4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5.xml" ContentType="application/vnd.openxmlformats-officedocument.drawing+xml"/>
  <Override PartName="/xl/charts/chart7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71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2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7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8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2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3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4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5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9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0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1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2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3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AppData\Local\Microsoft\Windows\INetCache\Content.Outlook\V53I4KSG\"/>
    </mc:Choice>
  </mc:AlternateContent>
  <xr:revisionPtr revIDLastSave="0" documentId="8_{5D918372-8586-4A79-A115-24348C6A4469}" xr6:coauthVersionLast="47" xr6:coauthVersionMax="47" xr10:uidLastSave="{00000000-0000-0000-0000-000000000000}"/>
  <bookViews>
    <workbookView xWindow="-110" yWindow="-110" windowWidth="19420" windowHeight="1030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Water Balance" sheetId="325" r:id="rId7"/>
    <sheet name="Hydraulic pipe report" sheetId="314" r:id="rId8"/>
    <sheet name="Block Chute Report" sheetId="308" r:id="rId9"/>
    <sheet name="Washed machines" sheetId="321" r:id="rId10"/>
    <sheet name="TMM Audit" sheetId="323" r:id="rId11"/>
    <sheet name="MSTA Audit Report" sheetId="324" r:id="rId12"/>
    <sheet name="Underground Toyota &amp; Fermel" sheetId="322" r:id="rId13"/>
    <sheet name="Capital &amp; Replacement" sheetId="213" r:id="rId14"/>
    <sheet name="Workshop Licences" sheetId="130" r:id="rId15"/>
    <sheet name="Services Detail" sheetId="18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7" hidden="1">'Hydraulic pipe report'!$A$21:$K$224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08" l="1"/>
  <c r="K4" i="308"/>
  <c r="H34" i="325"/>
  <c r="F34" i="325"/>
  <c r="E34" i="325"/>
  <c r="C34" i="325"/>
  <c r="H33" i="325"/>
  <c r="F33" i="325"/>
  <c r="E33" i="325"/>
  <c r="C33" i="325"/>
  <c r="H32" i="325"/>
  <c r="F32" i="325"/>
  <c r="E32" i="325"/>
  <c r="C32" i="325"/>
  <c r="H31" i="325"/>
  <c r="F31" i="325"/>
  <c r="E31" i="325"/>
  <c r="H30" i="325"/>
  <c r="F30" i="325"/>
  <c r="E30" i="325"/>
  <c r="C30" i="325"/>
  <c r="H29" i="325"/>
  <c r="F29" i="325"/>
  <c r="E29" i="325"/>
  <c r="C29" i="325"/>
  <c r="H28" i="325"/>
  <c r="F28" i="325"/>
  <c r="E28" i="325"/>
  <c r="H27" i="325"/>
  <c r="F27" i="325"/>
  <c r="E27" i="325"/>
  <c r="C27" i="325"/>
  <c r="H26" i="325"/>
  <c r="F26" i="325"/>
  <c r="E26" i="325"/>
  <c r="C26" i="325"/>
  <c r="H25" i="325"/>
  <c r="F25" i="325"/>
  <c r="E25" i="325"/>
  <c r="H24" i="325"/>
  <c r="F24" i="325"/>
  <c r="E24" i="325"/>
  <c r="H23" i="325"/>
  <c r="F23" i="325"/>
  <c r="E23" i="325"/>
  <c r="C23" i="325"/>
  <c r="H22" i="325"/>
  <c r="F22" i="325"/>
  <c r="E22" i="325"/>
  <c r="C22" i="325"/>
  <c r="H21" i="325"/>
  <c r="F21" i="325"/>
  <c r="E21" i="325"/>
  <c r="C21" i="325"/>
  <c r="H20" i="325"/>
  <c r="F20" i="325"/>
  <c r="E20" i="325"/>
  <c r="C20" i="325"/>
  <c r="H19" i="325"/>
  <c r="F19" i="325"/>
  <c r="E19" i="325"/>
  <c r="C19" i="325"/>
  <c r="H18" i="325"/>
  <c r="F18" i="325"/>
  <c r="E18" i="325"/>
  <c r="C18" i="325"/>
  <c r="H17" i="325"/>
  <c r="F17" i="325"/>
  <c r="E17" i="325"/>
  <c r="C17" i="325"/>
  <c r="H16" i="325"/>
  <c r="F16" i="325"/>
  <c r="E16" i="325"/>
  <c r="C16" i="325"/>
  <c r="H15" i="325"/>
  <c r="F15" i="325"/>
  <c r="E15" i="325"/>
  <c r="C15" i="325"/>
  <c r="H14" i="325"/>
  <c r="F14" i="325"/>
  <c r="E14" i="325"/>
  <c r="C14" i="325"/>
  <c r="H13" i="325"/>
  <c r="F13" i="325"/>
  <c r="E13" i="325"/>
  <c r="C13" i="325"/>
  <c r="H12" i="325"/>
  <c r="F12" i="325"/>
  <c r="E12" i="325"/>
  <c r="C12" i="325"/>
  <c r="H11" i="325"/>
  <c r="F11" i="325"/>
  <c r="E11" i="325"/>
  <c r="C11" i="325"/>
  <c r="H10" i="325"/>
  <c r="F10" i="325"/>
  <c r="E10" i="325"/>
  <c r="C10" i="325"/>
  <c r="H9" i="325"/>
  <c r="F9" i="325"/>
  <c r="E9" i="325"/>
  <c r="C9" i="325"/>
  <c r="H8" i="325"/>
  <c r="F8" i="325"/>
  <c r="E8" i="325"/>
  <c r="C8" i="325"/>
  <c r="H7" i="325"/>
  <c r="F7" i="325"/>
  <c r="C7" i="325"/>
  <c r="H6" i="325"/>
  <c r="F6" i="325"/>
  <c r="C6" i="325"/>
  <c r="H5" i="325"/>
  <c r="F5" i="325"/>
  <c r="E5" i="325"/>
  <c r="C5" i="325"/>
  <c r="H4" i="325"/>
  <c r="F4" i="325"/>
  <c r="E4" i="325"/>
  <c r="C4" i="325"/>
  <c r="H3" i="325"/>
  <c r="E3" i="325"/>
  <c r="D50" i="142"/>
  <c r="F48" i="142"/>
  <c r="F33" i="142"/>
  <c r="F22" i="142"/>
  <c r="F10" i="142"/>
  <c r="Q230" i="319"/>
  <c r="P230" i="319"/>
  <c r="O230" i="319"/>
  <c r="N230" i="319"/>
  <c r="M230" i="319"/>
  <c r="L230" i="319"/>
  <c r="K230" i="319"/>
  <c r="J230" i="319"/>
  <c r="I230" i="319"/>
  <c r="H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8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H4" i="64"/>
  <c r="G4" i="64"/>
  <c r="F4" i="64"/>
  <c r="E4" i="64"/>
  <c r="D4" i="64"/>
  <c r="C4" i="64"/>
  <c r="B4" i="64"/>
  <c r="E2" i="64"/>
  <c r="D70" i="52"/>
  <c r="D69" i="52"/>
  <c r="D68" i="52"/>
  <c r="D67" i="52"/>
  <c r="D66" i="52"/>
  <c r="D65" i="52"/>
  <c r="D64" i="52"/>
  <c r="G51" i="52"/>
  <c r="G50" i="52"/>
  <c r="G49" i="52"/>
  <c r="G48" i="52"/>
  <c r="G47" i="52"/>
  <c r="G46" i="52"/>
  <c r="G36" i="52"/>
  <c r="F36" i="52"/>
  <c r="A36" i="52"/>
  <c r="A34" i="52"/>
  <c r="L4" i="52"/>
  <c r="L3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sharedStrings.xml><?xml version="1.0" encoding="utf-8"?>
<sst xmlns="http://schemas.openxmlformats.org/spreadsheetml/2006/main" count="10851" uniqueCount="1131">
  <si>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</si>
  <si>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</si>
  <si>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</si>
  <si>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</si>
  <si>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</si>
  <si>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</si>
  <si>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</si>
  <si>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</si>
  <si>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</si>
  <si>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</si>
  <si>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</si>
  <si>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</si>
  <si>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</si>
  <si>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</si>
  <si>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</si>
  <si>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</si>
  <si>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</si>
  <si>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</si>
  <si>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</si>
  <si>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</si>
  <si>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</si>
  <si>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</si>
  <si>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</si>
  <si>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</si>
  <si>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</si>
  <si>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</si>
  <si>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</si>
  <si>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</si>
  <si>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</si>
  <si>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</si>
  <si>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</si>
  <si>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</si>
  <si>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</si>
  <si>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</si>
  <si>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</si>
  <si>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</si>
  <si>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</si>
  <si>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</si>
  <si>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</si>
  <si>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</si>
  <si>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</si>
  <si>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</si>
  <si>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</si>
  <si>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</si>
  <si>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</si>
  <si>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</si>
  <si>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</si>
  <si>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</si>
  <si>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</si>
  <si>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</si>
  <si>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</si>
  <si>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</si>
  <si>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</si>
  <si>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</si>
  <si>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</si>
  <si>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</si>
  <si>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</si>
  <si>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</si>
  <si>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</si>
  <si>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</si>
  <si>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</si>
  <si>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</si>
  <si>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</si>
  <si>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</si>
  <si>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</si>
  <si>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</si>
  <si>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</si>
  <si>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</si>
  <si>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</si>
  <si>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</si>
  <si>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</si>
  <si>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</si>
  <si>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</si>
  <si>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</si>
  <si>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</si>
  <si>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</si>
  <si>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</si>
  <si>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</si>
  <si>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</si>
  <si>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</si>
  <si>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</si>
  <si>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</si>
  <si>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</si>
  <si>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</si>
  <si>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</si>
  <si>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</si>
  <si>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</si>
  <si>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</si>
  <si>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</si>
  <si>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</si>
  <si>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</si>
  <si>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</si>
  <si>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</si>
  <si>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</si>
  <si>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</si>
  <si>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</si>
  <si>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</si>
  <si>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</si>
  <si>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</si>
  <si>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</si>
  <si>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</si>
  <si>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</si>
  <si>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</si>
  <si>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</si>
  <si>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</si>
  <si>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</si>
  <si>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</si>
  <si>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</si>
  <si>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</si>
  <si>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</si>
  <si>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</si>
  <si>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</si>
  <si>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</si>
  <si>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</si>
  <si>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</si>
  <si>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</si>
  <si>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</si>
  <si>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</si>
  <si>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</si>
  <si>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</si>
  <si>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</si>
  <si>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</si>
  <si>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</si>
  <si>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</si>
  <si>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</si>
  <si>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</si>
  <si>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</si>
  <si>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</si>
  <si>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</si>
  <si>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</si>
  <si>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</si>
  <si>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</si>
  <si>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</si>
  <si>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</si>
  <si>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</si>
  <si>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</si>
  <si>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</si>
  <si>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</si>
  <si>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</si>
  <si>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</si>
  <si>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</si>
  <si>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</si>
  <si>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</si>
  <si>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</si>
  <si>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</si>
  <si>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</si>
  <si>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</si>
  <si>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</si>
  <si>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</si>
  <si>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</si>
  <si>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</si>
  <si>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</si>
  <si>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</si>
  <si>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</si>
  <si>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</si>
  <si>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</si>
  <si>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</si>
  <si>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</si>
  <si>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</si>
  <si>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</si>
  <si>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</si>
  <si>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</si>
  <si>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</si>
  <si>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</si>
  <si>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</si>
  <si>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</si>
  <si>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</si>
  <si>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</si>
  <si>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</si>
  <si>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</si>
  <si>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</si>
  <si>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</si>
  <si>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</si>
  <si>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</si>
  <si>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</si>
  <si>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</si>
  <si>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</si>
  <si>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</si>
  <si>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</si>
  <si>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</si>
  <si>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</si>
  <si>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</si>
  <si>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</si>
  <si>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</si>
  <si>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</si>
  <si>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</si>
  <si>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</si>
  <si>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</si>
  <si>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</si>
  <si>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</si>
  <si>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</si>
  <si>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</si>
  <si>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</si>
  <si>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</si>
  <si>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</si>
  <si>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</si>
  <si>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</si>
  <si>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</si>
  <si>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</si>
  <si>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</si>
  <si>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</si>
  <si>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</si>
  <si>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</si>
  <si>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</si>
  <si>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</si>
  <si>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</si>
  <si>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</si>
  <si>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</si>
  <si>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</si>
  <si>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</si>
  <si>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</si>
  <si>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</si>
  <si>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</si>
  <si>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</si>
  <si>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</si>
  <si>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</si>
  <si>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</si>
  <si>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</si>
  <si>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</si>
  <si>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</si>
  <si>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</si>
  <si>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</si>
  <si>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</si>
  <si>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</si>
  <si>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</si>
  <si>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</si>
  <si>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</si>
  <si>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</si>
  <si>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</si>
  <si>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</si>
  <si>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</si>
  <si>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</si>
  <si>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</si>
  <si>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</si>
  <si>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</si>
  <si>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</si>
  <si>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</si>
  <si>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</si>
  <si>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</si>
  <si>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</si>
  <si>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</si>
  <si>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</si>
  <si>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</si>
  <si>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</si>
  <si>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</si>
  <si>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</si>
  <si>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</si>
  <si>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</si>
  <si>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</si>
  <si>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</si>
  <si>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</si>
  <si>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</si>
  <si>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</si>
  <si>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SR0040 - CAS LEVEL 9 INSTALLATION</t>
  </si>
  <si>
    <t>DT Diesel</t>
  </si>
  <si>
    <t>DT0174 - NO REVS; DT0173 - TRANSMISSION TIMING; DT0106 - NEROSPEC; DT0152 - POWERLESS; DT0153 - NO ACCELERATION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</si>
  <si>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</si>
  <si>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</si>
  <si>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</si>
  <si>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</si>
  <si>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</si>
  <si>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HD0060 - PERCUSSION; HD0059 - OIL COOLER</t>
  </si>
  <si>
    <t>RT0037 - HYDRAULIC HOSE; RT0045 - NOZZLE; RT0060 - HYDRAULIC HOSE</t>
  </si>
  <si>
    <t>SR0040 - CAS LEVEL 9 AND STRATA</t>
  </si>
  <si>
    <t>Charge up UV`s</t>
  </si>
  <si>
    <t>UV0068 - DIFFS</t>
  </si>
  <si>
    <t>RORO/Flat deck UV`s</t>
  </si>
  <si>
    <t>UV0083 - GEARS; UV0109 - HYDRAULIC FITTING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</si>
  <si>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</si>
  <si>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</si>
  <si>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</si>
  <si>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</si>
  <si>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</si>
  <si>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</si>
  <si>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</si>
  <si>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RT0027 WILL SERVICE TODAY</t>
  </si>
  <si>
    <t>SR0017 ON BREAKDOWN</t>
  </si>
  <si>
    <t>UV Emulsion Units</t>
  </si>
  <si>
    <t>LD0640 WILL SERVICE OVER THE WEEKEND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</si>
  <si>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</si>
  <si>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</si>
  <si>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</si>
  <si>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</si>
  <si>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</si>
  <si>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</si>
  <si>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</si>
  <si>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</si>
  <si>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</si>
  <si>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</si>
  <si>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</si>
  <si>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</si>
  <si>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</si>
  <si>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</si>
  <si>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</si>
  <si>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</si>
  <si>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</si>
  <si>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</si>
  <si>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</si>
  <si>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</si>
  <si>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</si>
  <si>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</si>
  <si>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</si>
  <si>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</si>
  <si>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</si>
  <si>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</si>
  <si>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</si>
  <si>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</si>
  <si>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</si>
  <si>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</si>
  <si>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</si>
  <si>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</si>
  <si>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</si>
  <si>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</si>
  <si>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</si>
  <si>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</si>
  <si>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</si>
  <si>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</si>
  <si>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</si>
  <si>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</si>
  <si>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</si>
  <si>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</si>
  <si>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</si>
  <si>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</si>
  <si>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</si>
  <si>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</si>
  <si>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</si>
  <si>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</si>
  <si>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</si>
  <si>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</si>
  <si>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</si>
  <si>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GD0008 ON BREAKDOWN</t>
  </si>
  <si>
    <t>DT0106</t>
  </si>
  <si>
    <t>HD0059; HD0066</t>
  </si>
  <si>
    <r>
      <rPr>
        <sz val="11"/>
        <rFont val="Calibri"/>
        <family val="2"/>
      </rPr>
      <t xml:space="preserve">RT0045; RT0037; </t>
    </r>
    <r>
      <rPr>
        <sz val="11"/>
        <color rgb="FFFF0000"/>
        <rFont val="Calibri"/>
        <family val="2"/>
      </rPr>
      <t>RT0027 Service today</t>
    </r>
  </si>
  <si>
    <r>
      <rPr>
        <sz val="11"/>
        <rFont val="Calibri"/>
        <family val="2"/>
      </rPr>
      <t xml:space="preserve">SR0037; </t>
    </r>
    <r>
      <rPr>
        <sz val="11"/>
        <color rgb="FFFF0000"/>
        <rFont val="Calibri"/>
        <family val="2"/>
      </rPr>
      <t>SR0017 ON BREAKDOWN</t>
    </r>
  </si>
  <si>
    <r>
      <rPr>
        <sz val="11"/>
        <rFont val="Calibri"/>
        <family val="2"/>
      </rPr>
      <t>UV0097; LD0507; LD0600; UV0070;</t>
    </r>
    <r>
      <rPr>
        <sz val="11"/>
        <color rgb="FFFF0000"/>
        <rFont val="Calibri"/>
        <family val="2"/>
      </rPr>
      <t xml:space="preserve"> LD0640 WILL SERVICE OVER THE WEEKEND</t>
    </r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</si>
  <si>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</si>
  <si>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</si>
  <si>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</si>
  <si>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</si>
  <si>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</si>
  <si>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</si>
  <si>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</si>
  <si>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</si>
  <si>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</si>
  <si>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</si>
  <si>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</si>
  <si>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</si>
  <si>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</si>
  <si>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</si>
  <si>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</si>
  <si>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16/02/2026</t>
  </si>
  <si>
    <t>SR0037</t>
  </si>
  <si>
    <t>NO</t>
  </si>
  <si>
    <t>YES</t>
  </si>
  <si>
    <t>17/02/2026</t>
  </si>
  <si>
    <t>RT0045</t>
  </si>
  <si>
    <t>HD0059</t>
  </si>
  <si>
    <t>18/02/2026</t>
  </si>
  <si>
    <t>HD0066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</si>
  <si>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</si>
  <si>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</si>
  <si>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</si>
  <si>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</si>
  <si>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</si>
  <si>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</si>
  <si>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</si>
  <si>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</si>
  <si>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</si>
  <si>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</si>
  <si>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</si>
  <si>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</si>
  <si>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OIL WAS DRAINED</t>
  </si>
  <si>
    <t>HDs &amp; RTs</t>
  </si>
  <si>
    <t>Oil filtration machine not operational - Filter housing cracked</t>
  </si>
  <si>
    <t>85W140: 20/19/17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</si>
  <si>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</si>
  <si>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</si>
  <si>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</si>
  <si>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</si>
  <si>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</si>
  <si>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</si>
  <si>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</si>
  <si>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</si>
  <si>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</si>
  <si>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</si>
  <si>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</si>
  <si>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</si>
  <si>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</si>
  <si>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</si>
  <si>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</si>
  <si>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</si>
  <si>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</si>
  <si>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</si>
  <si>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DT0105</t>
  </si>
  <si>
    <t>JAN</t>
  </si>
  <si>
    <t>NEROSPEC WIRING NOT UP TO STANDARD</t>
  </si>
  <si>
    <t>REPAIR WIRING</t>
  </si>
  <si>
    <t>ONGOING</t>
  </si>
  <si>
    <t>Hans</t>
  </si>
  <si>
    <t>need to replace jaws</t>
  </si>
  <si>
    <t>need new drifter carrier</t>
  </si>
  <si>
    <t xml:space="preserve">need stainless steel slides </t>
  </si>
  <si>
    <t>replace buffer rubber</t>
  </si>
  <si>
    <t>fix timing of drifter</t>
  </si>
  <si>
    <t>LD0507</t>
  </si>
  <si>
    <t xml:space="preserve">front suspension to be replace </t>
  </si>
  <si>
    <t>Drill plugs in section</t>
  </si>
  <si>
    <t>Elias</t>
  </si>
  <si>
    <t>Inspect drill plugs to be move forward</t>
  </si>
  <si>
    <t>Do planning to extend drill plugs</t>
  </si>
  <si>
    <t>Ongoing</t>
  </si>
  <si>
    <t xml:space="preserve">CV51 </t>
  </si>
  <si>
    <t>Handrails loose (Welding cracked)</t>
  </si>
  <si>
    <t>Boilers to repair</t>
  </si>
  <si>
    <t>Start up alarm faulty</t>
  </si>
  <si>
    <t>Repaired by Electrical Department.</t>
  </si>
  <si>
    <t>CV52</t>
  </si>
  <si>
    <t>No Nip guards</t>
  </si>
  <si>
    <t>Replaced by Fitters</t>
  </si>
  <si>
    <t>Tail guard not in position</t>
  </si>
  <si>
    <t>Repaired by Fitters</t>
  </si>
  <si>
    <t>Alignment bracket broken</t>
  </si>
  <si>
    <t>CV53</t>
  </si>
  <si>
    <t>Pull wire faulty</t>
  </si>
  <si>
    <t>CV16</t>
  </si>
  <si>
    <t>Breakdown Work Orders P/C/R and 5Y's Compliance</t>
  </si>
  <si>
    <r>
      <rPr>
        <b/>
        <u/>
        <sz val="11"/>
        <color rgb="FF000000"/>
        <rFont val="Calibri"/>
        <family val="2"/>
      </rPr>
      <t>Section</t>
    </r>
    <r>
      <rPr>
        <b/>
        <sz val="11"/>
        <color rgb="FF000000"/>
        <rFont val="Calibri"/>
        <family val="2"/>
      </rPr>
      <t xml:space="preserve">: </t>
    </r>
    <r>
      <rPr>
        <b/>
        <sz val="11"/>
        <color rgb="FFFF0000"/>
        <rFont val="Calibri"/>
        <family val="2"/>
      </rPr>
      <t>Week  13-19 February 2026</t>
    </r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</si>
  <si>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</si>
  <si>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</si>
  <si>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</si>
  <si>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</si>
  <si>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</si>
  <si>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</si>
  <si>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</si>
  <si>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</si>
  <si>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r>
      <rPr>
        <sz val="11"/>
        <color theme="1"/>
        <rFont val="Calibri"/>
        <family val="2"/>
        <scheme val="minor"/>
      </rPr>
      <t xml:space="preserve">(SM/S/SA/SK) W/O Compliance: </t>
    </r>
    <r>
      <rPr>
        <b/>
        <sz val="11"/>
        <color rgb="FFFF0000"/>
        <rFont val="Calibri"/>
        <family val="2"/>
        <scheme val="minor"/>
      </rPr>
      <t>01 July 2025 - 19 February 2026</t>
    </r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</si>
  <si>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</si>
  <si>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</si>
  <si>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</si>
  <si>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</si>
  <si>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</si>
  <si>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</si>
  <si>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</si>
  <si>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</si>
  <si>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</si>
  <si>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</si>
  <si>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</si>
  <si>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</si>
  <si>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</si>
  <si>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</si>
  <si>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</si>
  <si>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</si>
  <si>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</si>
  <si>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</si>
  <si>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</si>
  <si>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</si>
  <si>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</si>
  <si>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</si>
  <si>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</si>
  <si>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</si>
  <si>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</si>
  <si>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</si>
  <si>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</si>
  <si>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</si>
  <si>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</si>
  <si>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</si>
  <si>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1917031 - Gloria MT436 500Hr Service</t>
  </si>
  <si>
    <t>1 Engine + 1 Transmission samples</t>
  </si>
  <si>
    <t>FL/DZ/GD</t>
  </si>
  <si>
    <t>GD0008</t>
  </si>
  <si>
    <t>1933581 - Gloria Grader 250Hr Service</t>
  </si>
  <si>
    <t>1 Engine sample</t>
  </si>
  <si>
    <t>1916780 - Hyd Drill  Fit Wk. Main.</t>
  </si>
  <si>
    <t>1915226 - Hyd Drill  Fit Wk. Main.</t>
  </si>
  <si>
    <t>1923895 - Hyd. Drill Elect wk inspection</t>
  </si>
  <si>
    <t>1922431 - Hyd. Drill Elect wk inspection</t>
  </si>
  <si>
    <t>RT0027</t>
  </si>
  <si>
    <t>1919638 - R/B Mech Maint (Wk.)</t>
  </si>
  <si>
    <t>1922466 - R/B Mech Maint (Wk.)</t>
  </si>
  <si>
    <t>1931331 - R/B Mech Maint (Wk.)</t>
  </si>
  <si>
    <t>1898547 - Hyd Drill  El Wk Main</t>
  </si>
  <si>
    <t>1922465 - Hyd Drill  El Wk Main</t>
  </si>
  <si>
    <t>1931331 - Hyd Drill  El Wk Main</t>
  </si>
  <si>
    <t>SR0017</t>
  </si>
  <si>
    <t>1836052 - Gloria SR  500hr.service</t>
  </si>
  <si>
    <t>1933579 - Gloria SR  250hr.service</t>
  </si>
  <si>
    <t>2 Engine + 1 Transmission samples</t>
  </si>
  <si>
    <t>Emulsion Charging Units</t>
  </si>
  <si>
    <t>Scissor Lift Units</t>
  </si>
  <si>
    <t>Support Vehicles - BB, FT, LD, UV,CR</t>
  </si>
  <si>
    <t>LD0640</t>
  </si>
  <si>
    <t>UV0097</t>
  </si>
  <si>
    <t>LD0600</t>
  </si>
  <si>
    <t>UV0070</t>
  </si>
  <si>
    <t>1907275 - Toyota LC79 Mech Service</t>
  </si>
  <si>
    <t>1933596 - FERMEL LDV 500HR SERVICE</t>
  </si>
  <si>
    <t>1933597 - FERMEL LDV 250HR SERVICE</t>
  </si>
  <si>
    <t>1933601 - Toyota LC79 Mech Service</t>
  </si>
  <si>
    <t>1846998 - FERMEL LDV 250HR SERVICE</t>
  </si>
  <si>
    <t>5 Engine + 1 Transmisssion samples</t>
  </si>
  <si>
    <t>Outstanding</t>
  </si>
  <si>
    <t>Services</t>
  </si>
  <si>
    <t>CAS</t>
  </si>
  <si>
    <t>Brake Test</t>
  </si>
  <si>
    <t>Week</t>
  </si>
  <si>
    <t>Machines</t>
  </si>
  <si>
    <t>Usage (Litres)</t>
  </si>
  <si>
    <t>Reason for usage</t>
  </si>
  <si>
    <t>W1</t>
  </si>
  <si>
    <t>30 Jan - 05 Feb 2026</t>
  </si>
  <si>
    <t>DT0152</t>
  </si>
  <si>
    <t>FL0119</t>
  </si>
  <si>
    <t>Total usage per week</t>
  </si>
  <si>
    <t>W2</t>
  </si>
  <si>
    <t>06 - 12 Feb 2026</t>
  </si>
  <si>
    <t>DT0153</t>
  </si>
  <si>
    <t>FL0118</t>
  </si>
  <si>
    <t>FL0081</t>
  </si>
  <si>
    <t>W3</t>
  </si>
  <si>
    <t>13 - 19 Feb 2026</t>
  </si>
  <si>
    <t>DT0173</t>
  </si>
  <si>
    <t>DT0185</t>
  </si>
  <si>
    <t>FL0083</t>
  </si>
  <si>
    <t>W4</t>
  </si>
  <si>
    <t>20 - 26 Feb 2026</t>
  </si>
  <si>
    <t>Total Monthly usage</t>
  </si>
  <si>
    <t>Underground to Lined Dam/Surface</t>
  </si>
  <si>
    <t>Gamagara to U/G and C/House</t>
  </si>
  <si>
    <t>Start</t>
  </si>
  <si>
    <t>End</t>
  </si>
  <si>
    <t>Diff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</si>
  <si>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</si>
  <si>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</si>
  <si>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</si>
  <si>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</si>
  <si>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</si>
  <si>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</si>
  <si>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</si>
  <si>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</si>
  <si>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</si>
  <si>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</si>
  <si>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</si>
  <si>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</si>
  <si>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</si>
  <si>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</si>
  <si>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</si>
  <si>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</si>
  <si>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</si>
  <si>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</si>
  <si>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</si>
  <si>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</si>
  <si>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</si>
  <si>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</si>
  <si>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</si>
  <si>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</si>
  <si>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</si>
  <si>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</si>
  <si>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</si>
  <si>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</si>
  <si>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</si>
  <si>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</si>
  <si>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</si>
  <si>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XC2-10</t>
  </si>
  <si>
    <t>0.8M</t>
  </si>
  <si>
    <t>RT0060</t>
  </si>
  <si>
    <t>BOOM</t>
  </si>
  <si>
    <t>ABRATION</t>
  </si>
  <si>
    <t>Y</t>
  </si>
  <si>
    <t>XC25-08</t>
  </si>
  <si>
    <t>1M</t>
  </si>
  <si>
    <t>1.5M</t>
  </si>
  <si>
    <t>UV0109</t>
  </si>
  <si>
    <t>ARTICULATION</t>
  </si>
  <si>
    <t>4SP-16</t>
  </si>
  <si>
    <t>2M</t>
  </si>
  <si>
    <t>ABRASION</t>
  </si>
  <si>
    <t>ST-10</t>
  </si>
  <si>
    <t>0,6M</t>
  </si>
  <si>
    <t>2,2M</t>
  </si>
  <si>
    <t>2,5M</t>
  </si>
  <si>
    <t>3,1M</t>
  </si>
  <si>
    <t>3,3M</t>
  </si>
  <si>
    <t>XC23-16</t>
  </si>
  <si>
    <t>1,5M</t>
  </si>
  <si>
    <t>XC2-06</t>
  </si>
  <si>
    <t>XC02-12</t>
  </si>
  <si>
    <t>3M</t>
  </si>
  <si>
    <t>RT0046</t>
  </si>
  <si>
    <t>XC2-12</t>
  </si>
  <si>
    <t>12,5M</t>
  </si>
  <si>
    <t>SR0040</t>
  </si>
  <si>
    <t>3,5M</t>
  </si>
  <si>
    <t>HD0060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</si>
  <si>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</si>
  <si>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</si>
  <si>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</si>
  <si>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</si>
  <si>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</si>
  <si>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</si>
  <si>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</si>
  <si>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</si>
  <si>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</si>
  <si>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</si>
  <si>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</si>
  <si>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Jun</t>
  </si>
  <si>
    <t>Jul</t>
  </si>
  <si>
    <t>WEEK: 13-19 Feb 2026</t>
  </si>
  <si>
    <t>MACDONALDS CLEANING</t>
  </si>
  <si>
    <t>Equipment no</t>
  </si>
  <si>
    <t>Daily Pre-start Report Defects</t>
  </si>
  <si>
    <t>MT436 LP</t>
  </si>
  <si>
    <t>DT0094</t>
  </si>
  <si>
    <t>Caterpillar AD30 UGM Truck</t>
  </si>
  <si>
    <t>DT0174</t>
  </si>
  <si>
    <t>PROD/ VEHICLE LOADER, ST14</t>
  </si>
  <si>
    <t>FL0064</t>
  </si>
  <si>
    <t>ST1030 LP Wagner (Project) Epiroc</t>
  </si>
  <si>
    <t>FL0093</t>
  </si>
  <si>
    <t>Epiroc ST14</t>
  </si>
  <si>
    <t>ST1031</t>
  </si>
  <si>
    <t>DZ0012</t>
  </si>
  <si>
    <t>120H CAT Grader</t>
  </si>
  <si>
    <t>Aard UV80 Scissor lift</t>
  </si>
  <si>
    <t>UV0043</t>
  </si>
  <si>
    <t>UV 80 Emulsion Charger</t>
  </si>
  <si>
    <t>UV0065</t>
  </si>
  <si>
    <t>UV0067</t>
  </si>
  <si>
    <t>UV0068</t>
  </si>
  <si>
    <t>UV0128</t>
  </si>
  <si>
    <t>UV100 Water Tanker</t>
  </si>
  <si>
    <t>UV0105</t>
  </si>
  <si>
    <t>UV0110</t>
  </si>
  <si>
    <t>Bell 4 Wheeled Scaler Series E</t>
  </si>
  <si>
    <t>Bell 220 Rock Scaler</t>
  </si>
  <si>
    <t>Aard 4 Wheeled Scaler Series E</t>
  </si>
  <si>
    <t>SR0052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</si>
  <si>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</si>
  <si>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</si>
  <si>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</si>
  <si>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</si>
  <si>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</si>
  <si>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</si>
  <si>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UV0076</t>
  </si>
  <si>
    <t>Fermel Single cab LUBE UNIT</t>
  </si>
  <si>
    <t>UV0073</t>
  </si>
  <si>
    <t>FERMEL UV80 (LIBERATOR ON/OFF)</t>
  </si>
  <si>
    <t>UV0080</t>
  </si>
  <si>
    <t>Fermel RoRo</t>
  </si>
  <si>
    <t>UV0083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</si>
  <si>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</si>
  <si>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</si>
  <si>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</si>
  <si>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</si>
  <si>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</si>
  <si>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</si>
  <si>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</si>
  <si>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Fermel Mevaric Jam Pot</t>
  </si>
  <si>
    <t>UV0104</t>
  </si>
  <si>
    <t>Fermel Placer Dumper</t>
  </si>
  <si>
    <t>UV0106</t>
  </si>
  <si>
    <t>Fermel Liberator Dedicated Flat Bed</t>
  </si>
  <si>
    <t>UV0113</t>
  </si>
  <si>
    <t>Liberator RoRo MKIII</t>
  </si>
  <si>
    <t>UV0117</t>
  </si>
  <si>
    <t>Liberator RoRo</t>
  </si>
  <si>
    <t>UV0127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</si>
  <si>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</si>
  <si>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</si>
  <si>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</si>
  <si>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</si>
  <si>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</si>
  <si>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</si>
  <si>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</si>
  <si>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</si>
  <si>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</si>
  <si>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</si>
  <si>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</si>
  <si>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</si>
  <si>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</si>
  <si>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</si>
  <si>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LD0483</t>
  </si>
  <si>
    <t>LD0506</t>
  </si>
  <si>
    <t>LD0511</t>
  </si>
  <si>
    <t>Maverick D/C Elias Elect</t>
  </si>
  <si>
    <t>LD0517</t>
  </si>
  <si>
    <t>Toyota Land Cruiser LC79 4.2D</t>
  </si>
  <si>
    <t>LD0558</t>
  </si>
  <si>
    <t>LD0562</t>
  </si>
  <si>
    <t>LD0563</t>
  </si>
  <si>
    <t>LD0564</t>
  </si>
  <si>
    <t>LD0565</t>
  </si>
  <si>
    <t>LD0566</t>
  </si>
  <si>
    <t>LD0567</t>
  </si>
  <si>
    <t>LD0598</t>
  </si>
  <si>
    <t>LD0599</t>
  </si>
  <si>
    <t>LD0601</t>
  </si>
  <si>
    <t>LD0602</t>
  </si>
  <si>
    <t>LD0603</t>
  </si>
  <si>
    <t>LD0639</t>
  </si>
  <si>
    <t>Boltec 235H</t>
  </si>
  <si>
    <t>RT0026</t>
  </si>
  <si>
    <t>Atlas Copco Boltec H 235</t>
  </si>
  <si>
    <t>Epiroc Boltec 235H</t>
  </si>
  <si>
    <t>Epiroc Rocket Boomer 282</t>
  </si>
  <si>
    <t>HD0048</t>
  </si>
  <si>
    <t>Epiroc Rocket Boomer 283</t>
  </si>
  <si>
    <t>Epiroc Rocket Boomer 284</t>
  </si>
  <si>
    <t>LDO516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</si>
  <si>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</si>
  <si>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</si>
  <si>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</si>
  <si>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</si>
  <si>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</si>
  <si>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</si>
  <si>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</si>
  <si>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</si>
  <si>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</si>
  <si>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</si>
  <si>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</si>
  <si>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</si>
  <si>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</si>
  <si>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</si>
  <si>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</si>
  <si>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</si>
  <si>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</si>
  <si>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</si>
  <si>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</si>
  <si>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</si>
  <si>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</si>
  <si>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</si>
  <si>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</si>
  <si>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</si>
  <si>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</si>
  <si>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</si>
  <si>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</si>
  <si>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</si>
  <si>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</si>
  <si>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</si>
  <si>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</si>
  <si>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</si>
  <si>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</si>
  <si>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NONE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</si>
  <si>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</si>
  <si>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</si>
  <si>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</si>
  <si>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</si>
  <si>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</si>
  <si>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</si>
  <si>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</si>
  <si>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</si>
  <si>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</si>
  <si>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</si>
  <si>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</si>
  <si>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</si>
  <si>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</si>
  <si>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</si>
  <si>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</si>
  <si>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</si>
  <si>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</si>
  <si>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</si>
  <si>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</si>
  <si>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</si>
  <si>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</si>
  <si>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</si>
  <si>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</si>
  <si>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</si>
  <si>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</si>
  <si>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</si>
  <si>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</si>
  <si>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</si>
  <si>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</si>
  <si>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</si>
  <si>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</si>
  <si>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</si>
  <si>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</si>
  <si>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</si>
  <si>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</si>
  <si>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</si>
  <si>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</si>
  <si>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</si>
  <si>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</si>
  <si>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</si>
  <si>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</si>
  <si>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</si>
  <si>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</si>
  <si>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</si>
  <si>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</si>
  <si>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</si>
  <si>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</si>
  <si>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</si>
  <si>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</si>
  <si>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</si>
  <si>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None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</si>
  <si>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</si>
  <si>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</si>
  <si>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</si>
  <si>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</si>
  <si>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</si>
  <si>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</si>
  <si>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</si>
  <si>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</si>
  <si>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</si>
  <si>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</si>
  <si>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</si>
  <si>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</si>
  <si>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</si>
  <si>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</si>
  <si>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</si>
  <si>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</si>
  <si>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</si>
  <si>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</si>
  <si>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</si>
  <si>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</si>
  <si>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</si>
  <si>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</si>
  <si>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</si>
  <si>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</si>
  <si>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</si>
  <si>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</si>
  <si>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</si>
  <si>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</si>
  <si>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</si>
  <si>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</si>
  <si>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</si>
  <si>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</si>
  <si>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</si>
  <si>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</si>
  <si>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</si>
  <si>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</si>
  <si>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</si>
  <si>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</si>
  <si>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</si>
  <si>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</si>
  <si>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</si>
  <si>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</si>
  <si>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</si>
  <si>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</si>
  <si>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</si>
  <si>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</si>
  <si>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</si>
  <si>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</si>
  <si>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</si>
  <si>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</si>
  <si>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</si>
  <si>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</si>
  <si>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</si>
  <si>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</si>
  <si>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</si>
  <si>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</si>
  <si>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</si>
  <si>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</si>
  <si>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</si>
  <si>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</si>
  <si>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</si>
  <si>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</si>
  <si>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</si>
  <si>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</si>
  <si>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</si>
  <si>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</si>
  <si>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</si>
  <si>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</si>
  <si>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</si>
  <si>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</si>
  <si>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</si>
  <si>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</si>
  <si>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</si>
  <si>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</si>
  <si>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</si>
  <si>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</si>
  <si>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</si>
  <si>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</si>
  <si>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</si>
  <si>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</si>
  <si>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</si>
  <si>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</si>
  <si>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</si>
  <si>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</si>
  <si>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</si>
  <si>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</si>
  <si>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</si>
  <si>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</si>
  <si>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</si>
  <si>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</si>
  <si>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</si>
  <si>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</si>
  <si>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</si>
  <si>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</si>
  <si>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</si>
  <si>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</si>
  <si>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</si>
  <si>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</si>
  <si>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</si>
  <si>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</si>
  <si>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</si>
  <si>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</si>
  <si>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</si>
  <si>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SN WO Completed</t>
  </si>
  <si>
    <t>25/10/2025</t>
  </si>
  <si>
    <t>28/10/2025</t>
  </si>
  <si>
    <t>26/10/2025</t>
  </si>
  <si>
    <t>15/01/2026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</si>
  <si>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</si>
  <si>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</si>
  <si>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</si>
  <si>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</si>
  <si>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</si>
  <si>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</si>
  <si>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</si>
  <si>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</si>
  <si>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</si>
  <si>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</si>
  <si>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</si>
  <si>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</si>
  <si>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</si>
  <si>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OIL LEAKAGE</t>
  </si>
  <si>
    <t>Eng Instr Tech.</t>
  </si>
  <si>
    <t>Mining Expl.</t>
  </si>
  <si>
    <t>Eng.Elec.</t>
  </si>
  <si>
    <t>Scrapped</t>
  </si>
  <si>
    <t>SCRAPPED</t>
  </si>
  <si>
    <t>Eng Plant</t>
  </si>
  <si>
    <t>NEEDS BUMP SHIFT</t>
  </si>
  <si>
    <t>Eng Mech</t>
  </si>
  <si>
    <t>LDO506</t>
  </si>
  <si>
    <t>STARTING CIRCUIT</t>
  </si>
  <si>
    <t>Eng Hyd</t>
  </si>
  <si>
    <t>Mining L&amp;H</t>
  </si>
  <si>
    <t>HYDRAULIC BLOCK</t>
  </si>
  <si>
    <t>Eng Hyd. Lube unit</t>
  </si>
  <si>
    <t xml:space="preserve">Maverick King Cab NO Crane      </t>
  </si>
  <si>
    <t>Maverick king Cab c/w Crane</t>
  </si>
  <si>
    <t>Eng. Mech.</t>
  </si>
  <si>
    <t>COIL SPRING</t>
  </si>
  <si>
    <t>Training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</si>
  <si>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</si>
  <si>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</si>
  <si>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</si>
  <si>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</si>
  <si>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</si>
  <si>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</si>
  <si>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</si>
  <si>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PAWL CYLINDER</t>
  </si>
  <si>
    <t>Fermel Flatbed</t>
  </si>
  <si>
    <t>Mining Const.</t>
  </si>
  <si>
    <t>Toyota</t>
  </si>
  <si>
    <t>Toyota SC - Cruiser - Stretcher Carrier</t>
  </si>
  <si>
    <t>LDO226</t>
  </si>
  <si>
    <t>Mining D&amp;B</t>
  </si>
  <si>
    <t>Toyota SC Cruiser - Minespec 8 MAN</t>
  </si>
  <si>
    <t>LDO558</t>
  </si>
  <si>
    <t>WHEEL HUB</t>
  </si>
  <si>
    <t>Mining Roadways</t>
  </si>
  <si>
    <t>Eng plant</t>
  </si>
  <si>
    <t>Eng Elec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</si>
  <si>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</si>
  <si>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</si>
  <si>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</si>
  <si>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</si>
  <si>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</si>
  <si>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</si>
  <si>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</si>
  <si>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</si>
  <si>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</si>
  <si>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</si>
  <si>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</si>
  <si>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</si>
  <si>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</si>
  <si>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</si>
  <si>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</si>
  <si>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PUD</t>
  </si>
  <si>
    <t>Occupational Hygiene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</si>
  <si>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</si>
  <si>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</si>
  <si>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</si>
  <si>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</si>
  <si>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</si>
  <si>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</si>
  <si>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</si>
  <si>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</si>
  <si>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</si>
  <si>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</si>
  <si>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</si>
  <si>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</si>
  <si>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</si>
  <si>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family val="2"/>
      </rPr>
      <t xml:space="preserve">FLOW METER INSTALLATION IN WATER RETICULATION PIPELINE          </t>
    </r>
    <r>
      <rPr>
        <sz val="12"/>
        <color rgb="FFFF0000"/>
        <rFont val="Trebuchet MS"/>
        <family val="2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</si>
  <si>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</si>
  <si>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</si>
  <si>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</si>
  <si>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</si>
  <si>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</si>
  <si>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</si>
  <si>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</si>
  <si>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</si>
  <si>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</si>
  <si>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</si>
  <si>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</si>
  <si>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</si>
  <si>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family val="2"/>
      </rPr>
      <t xml:space="preserve">GLORIA NEW MAIN STORE                    </t>
    </r>
    <r>
      <rPr>
        <sz val="12"/>
        <color rgb="FFFF0000"/>
        <rFont val="Trebuchet MS"/>
        <family val="2"/>
      </rPr>
      <t xml:space="preserve">                          </t>
    </r>
    <r>
      <rPr>
        <sz val="12"/>
        <color theme="1"/>
        <rFont val="Trebuchet MS"/>
        <family val="2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</si>
  <si>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</si>
  <si>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</si>
  <si>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</si>
  <si>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family val="2"/>
      </rPr>
      <t xml:space="preserve">GL REPLACEMENT OF COMPRESSOR                                                 </t>
    </r>
    <r>
      <rPr>
        <sz val="12"/>
        <color rgb="FFFF0000"/>
        <rFont val="Trebuchet MS"/>
        <family val="2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</si>
  <si>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</si>
  <si>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</si>
  <si>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</si>
  <si>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</si>
  <si>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</si>
  <si>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</si>
  <si>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</si>
  <si>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family val="2"/>
      </rPr>
      <t xml:space="preserve">REPLACEMENT UV0080                                                                    </t>
    </r>
    <r>
      <rPr>
        <sz val="12"/>
        <color rgb="FFFF0000"/>
        <rFont val="Trebuchet MS"/>
        <family val="2"/>
      </rPr>
      <t xml:space="preserve">    </t>
    </r>
    <r>
      <rPr>
        <sz val="12"/>
        <color theme="1"/>
        <rFont val="Trebuchet MS"/>
        <family val="2"/>
      </rPr>
      <t xml:space="preserve">                  </t>
    </r>
  </si>
  <si>
    <t>Y                                   Feb2024</t>
  </si>
  <si>
    <t>UPGRADE GLORIA DECLINE MAIN ROAD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</si>
  <si>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</si>
  <si>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</si>
  <si>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</si>
  <si>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</si>
  <si>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</si>
  <si>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</si>
  <si>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</si>
  <si>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</si>
  <si>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</si>
  <si>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</si>
  <si>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</si>
  <si>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</si>
  <si>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</si>
  <si>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</si>
  <si>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</si>
  <si>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</si>
  <si>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</si>
  <si>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</si>
  <si>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</si>
  <si>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</si>
  <si>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</si>
  <si>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</si>
  <si>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</si>
  <si>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</si>
  <si>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</si>
  <si>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</si>
  <si>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</si>
  <si>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</si>
  <si>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</si>
  <si>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</si>
  <si>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</si>
  <si>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</si>
  <si>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</si>
  <si>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</si>
  <si>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</si>
  <si>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</si>
  <si>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</si>
  <si>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</si>
  <si>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</si>
  <si>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</si>
  <si>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</si>
  <si>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</si>
  <si>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</si>
  <si>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</si>
  <si>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</si>
  <si>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</si>
  <si>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</si>
  <si>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</si>
  <si>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</si>
  <si>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</si>
  <si>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</si>
  <si>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</si>
  <si>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</si>
  <si>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</si>
  <si>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</si>
  <si>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</si>
  <si>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</si>
  <si>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</si>
  <si>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</si>
  <si>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</si>
  <si>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</si>
  <si>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</si>
  <si>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</si>
  <si>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</si>
  <si>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</si>
  <si>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</si>
  <si>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</si>
  <si>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</si>
  <si>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</si>
  <si>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</si>
  <si>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</si>
  <si>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</si>
  <si>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</si>
  <si>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</si>
  <si>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</si>
  <si>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</si>
  <si>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</si>
  <si>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</si>
  <si>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</si>
  <si>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</si>
  <si>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</si>
  <si>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</si>
  <si>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</si>
  <si>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</si>
  <si>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</si>
  <si>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</si>
  <si>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GL U/G NEW CHUTE INSTALLATION</t>
  </si>
  <si>
    <t>25/26</t>
  </si>
  <si>
    <t>PR Placed 19/01/2026; awaiting order</t>
  </si>
  <si>
    <t>25000294/A4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</si>
  <si>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</si>
  <si>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</si>
  <si>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</si>
  <si>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</si>
  <si>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</si>
  <si>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</si>
  <si>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</si>
  <si>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</si>
  <si>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</si>
  <si>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</si>
  <si>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</si>
  <si>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</si>
  <si>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</si>
  <si>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 25000200/O4</t>
  </si>
  <si>
    <t>REPLACEMENT LD0425 - NEW LD0679</t>
  </si>
  <si>
    <t>25000132/A4 25000239/A4</t>
  </si>
  <si>
    <t>25000078/O4 25000156/O4</t>
  </si>
  <si>
    <t>REPLACEMENT LD0330 - NEW LD0687</t>
  </si>
  <si>
    <t>PR Placed 11/12/2025</t>
  </si>
  <si>
    <t>25000259/A4</t>
  </si>
  <si>
    <t>25000195/O4</t>
  </si>
  <si>
    <t>REPLACEMENT LD0331 - NEW LD0688</t>
  </si>
  <si>
    <t>25000260/A4</t>
  </si>
  <si>
    <t>25000196/O4</t>
  </si>
  <si>
    <t>SUPPLY OF1x 2 POST BASEFREE LIFT</t>
  </si>
  <si>
    <t>PR Placed 08/01/2026; awaiting order</t>
  </si>
  <si>
    <t>25000285/A4</t>
  </si>
  <si>
    <t>Actual AD30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</si>
</sst>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6" formatCode="_ * #,##0.00_ ;_ * \-#,##0.00_ ;_ * &quot;-&quot;??_ ;_ @_ "/>
    <numFmt numFmtId="168" formatCode="dd/mm/yyyy;@"/>
    <numFmt numFmtId="169" formatCode="[$-409]d\-mmm;@"/>
    <numFmt numFmtId="170" formatCode="[$-1C09]dd\ mmmm\ yyyy;@"/>
    <numFmt numFmtId="171" formatCode="[$-F800]dddd\,\ mmmm\ dd\,\ yyyy"/>
    <numFmt numFmtId="172" formatCode="[$-F400]h:mm:ss\ AM/PM"/>
    <numFmt numFmtId="173" formatCode="0_);[Red]\(0\)"/>
    <numFmt numFmtId="174" formatCode="0.0%"/>
  </numFmts>
  <fonts count="10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sz val="11"/>
      <name val="Calibri"/>
      <family val="2"/>
      <scheme val="minor"/>
    </font>
    <font>
      <sz val="12"/>
      <name val="Trebuchet MS"/>
      <family val="2"/>
    </font>
    <font>
      <sz val="11"/>
      <color theme="1"/>
      <name val="Trebuchet MS"/>
      <family val="2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Arial Black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0070C0"/>
      <name val="Calibri"/>
      <family val="2"/>
    </font>
    <font>
      <sz val="11"/>
      <color rgb="FF00B0F0"/>
      <name val="Calibri"/>
      <family val="2"/>
    </font>
    <font>
      <sz val="11"/>
      <color theme="4" tint="-0.249977111117893"/>
      <name val="Calibri"/>
      <family val="2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u/>
      <sz val="36"/>
      <color rgb="FF000000"/>
      <name val="Calibri"/>
      <family val="2"/>
    </font>
    <font>
      <b/>
      <u/>
      <sz val="22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36"/>
      <color theme="1"/>
      <name val="Calibri"/>
      <family val="2"/>
    </font>
    <font>
      <sz val="12"/>
      <color rgb="FF3F3F76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FA7D00"/>
      <name val="Calibri"/>
      <family val="2"/>
      <scheme val="minor"/>
    </font>
    <font>
      <b/>
      <sz val="28"/>
      <color rgb="FFFA7D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8"/>
      <color rgb="FF000000"/>
      <name val="Calibri"/>
      <family val="2"/>
    </font>
    <font>
      <b/>
      <sz val="16"/>
      <color rgb="FFFF0000"/>
      <name val="Calibri"/>
      <family val="2"/>
    </font>
    <font>
      <i/>
      <sz val="11"/>
      <color rgb="FF3F3F76"/>
      <name val="Calibri"/>
      <family val="2"/>
      <scheme val="minor"/>
    </font>
    <font>
      <b/>
      <sz val="28"/>
      <color rgb="FF000000"/>
      <name val="Calibri"/>
      <family val="2"/>
    </font>
    <font>
      <b/>
      <u/>
      <sz val="16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sz val="11"/>
      <color indexed="57"/>
      <name val="Arial"/>
      <family val="2"/>
    </font>
    <font>
      <sz val="11"/>
      <color indexed="53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b/>
      <sz val="1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Trebuchet MS"/>
      <family val="2"/>
    </font>
    <font>
      <sz val="11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76180303353984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39759514145329145"/>
        <bgColor indexed="64"/>
      </patternFill>
    </fill>
    <fill>
      <patternFill patternType="solid">
        <fgColor theme="0" tint="-0.14761803033539841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9" tint="0.39973143711661124"/>
        <bgColor indexed="64"/>
      </patternFill>
    </fill>
  </fills>
  <borders count="20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60">
    <xf numFmtId="0" fontId="0" fillId="0" borderId="0"/>
    <xf numFmtId="166" fontId="99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0" fontId="99" fillId="39" borderId="92" applyNumberFormat="0" applyFont="0" applyAlignment="0" applyProtection="0"/>
    <xf numFmtId="0" fontId="63" fillId="36" borderId="78" applyNumberFormat="0" applyAlignment="0" applyProtection="0"/>
    <xf numFmtId="0" fontId="71" fillId="38" borderId="78" applyNumberFormat="0" applyAlignment="0" applyProtection="0"/>
    <xf numFmtId="0" fontId="62" fillId="35" borderId="72" applyNumberFormat="0" applyAlignment="0" applyProtection="0"/>
    <xf numFmtId="0" fontId="99" fillId="7" borderId="0" applyNumberFormat="0" applyBorder="0" applyAlignment="0" applyProtection="0"/>
    <xf numFmtId="0" fontId="99" fillId="37" borderId="0" applyNumberFormat="0" applyBorder="0" applyAlignment="0" applyProtection="0"/>
    <xf numFmtId="0" fontId="99" fillId="40" borderId="0" applyNumberFormat="0" applyBorder="0" applyAlignment="0" applyProtection="0"/>
    <xf numFmtId="0" fontId="95" fillId="57" borderId="0" applyNumberFormat="0" applyBorder="0" applyAlignment="0" applyProtection="0"/>
    <xf numFmtId="0" fontId="95" fillId="58" borderId="0" applyNumberFormat="0" applyBorder="0" applyAlignment="0" applyProtection="0"/>
    <xf numFmtId="0" fontId="95" fillId="59" borderId="0" applyNumberFormat="0" applyBorder="0" applyAlignment="0" applyProtection="0"/>
    <xf numFmtId="0" fontId="95" fillId="60" borderId="0" applyNumberFormat="0" applyBorder="0" applyAlignment="0" applyProtection="0"/>
    <xf numFmtId="0" fontId="95" fillId="61" borderId="0" applyNumberFormat="0" applyBorder="0" applyAlignment="0" applyProtection="0"/>
    <xf numFmtId="0" fontId="95" fillId="62" borderId="0" applyNumberFormat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99" fillId="0" borderId="0" applyFont="0" applyFill="0" applyBorder="0" applyAlignment="0" applyProtection="0"/>
    <xf numFmtId="0" fontId="63" fillId="36" borderId="78" applyNumberFormat="0" applyAlignment="0" applyProtection="0"/>
    <xf numFmtId="0" fontId="96" fillId="56" borderId="0" applyNumberFormat="0" applyBorder="0" applyAlignment="0" applyProtection="0"/>
    <xf numFmtId="0" fontId="19" fillId="0" borderId="0"/>
    <xf numFmtId="0" fontId="97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088">
    <xf numFmtId="0" fontId="0" fillId="0" borderId="0" xfId="0"/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/>
    <xf numFmtId="15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9" fontId="0" fillId="0" borderId="0" xfId="0" applyNumberFormat="1"/>
    <xf numFmtId="9" fontId="7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1" fontId="11" fillId="0" borderId="6" xfId="0" applyNumberFormat="1" applyFont="1" applyBorder="1"/>
    <xf numFmtId="0" fontId="0" fillId="5" borderId="0" xfId="0" applyFill="1"/>
    <xf numFmtId="0" fontId="11" fillId="0" borderId="5" xfId="0" applyFont="1" applyBorder="1" applyAlignment="1">
      <alignment horizontal="left"/>
    </xf>
    <xf numFmtId="0" fontId="12" fillId="5" borderId="0" xfId="0" applyFont="1" applyFill="1"/>
    <xf numFmtId="0" fontId="0" fillId="6" borderId="0" xfId="0" applyFill="1"/>
    <xf numFmtId="1" fontId="13" fillId="0" borderId="6" xfId="0" applyNumberFormat="1" applyFont="1" applyBorder="1"/>
    <xf numFmtId="1" fontId="11" fillId="0" borderId="5" xfId="0" applyNumberFormat="1" applyFont="1" applyBorder="1"/>
    <xf numFmtId="1" fontId="14" fillId="0" borderId="7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0" fontId="15" fillId="0" borderId="0" xfId="0" applyFont="1"/>
    <xf numFmtId="0" fontId="7" fillId="8" borderId="8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49" fontId="17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7" fillId="10" borderId="3" xfId="0" applyNumberFormat="1" applyFont="1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17" fillId="12" borderId="3" xfId="0" applyNumberFormat="1" applyFont="1" applyFill="1" applyBorder="1" applyAlignment="1">
      <alignment horizontal="center"/>
    </xf>
    <xf numFmtId="49" fontId="17" fillId="13" borderId="3" xfId="0" applyNumberFormat="1" applyFont="1" applyFill="1" applyBorder="1" applyAlignment="1">
      <alignment horizontal="center"/>
    </xf>
    <xf numFmtId="49" fontId="17" fillId="14" borderId="3" xfId="0" applyNumberFormat="1" applyFont="1" applyFill="1" applyBorder="1" applyAlignment="1">
      <alignment horizontal="center"/>
    </xf>
    <xf numFmtId="49" fontId="17" fillId="16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7" fillId="17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18" borderId="3" xfId="0" applyNumberFormat="1" applyFill="1" applyBorder="1" applyAlignment="1">
      <alignment horizontal="center"/>
    </xf>
    <xf numFmtId="49" fontId="17" fillId="0" borderId="14" xfId="0" applyNumberFormat="1" applyFon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9" fillId="18" borderId="0" xfId="0" applyNumberFormat="1" applyFont="1" applyFill="1" applyAlignment="1">
      <alignment horizontal="center" vertical="center"/>
    </xf>
    <xf numFmtId="168" fontId="19" fillId="18" borderId="0" xfId="0" applyNumberFormat="1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12" fillId="0" borderId="0" xfId="0" applyFont="1"/>
    <xf numFmtId="0" fontId="21" fillId="0" borderId="0" xfId="0" applyFont="1" applyAlignment="1">
      <alignment horizontal="left"/>
    </xf>
    <xf numFmtId="0" fontId="22" fillId="19" borderId="0" xfId="0" applyFont="1" applyFill="1" applyAlignment="1">
      <alignment horizontal="center"/>
    </xf>
    <xf numFmtId="0" fontId="22" fillId="20" borderId="0" xfId="0" applyFont="1" applyFill="1" applyAlignment="1">
      <alignment horizontal="center"/>
    </xf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0" fillId="20" borderId="0" xfId="0" applyFont="1" applyFill="1" applyAlignment="1">
      <alignment horizontal="left"/>
    </xf>
    <xf numFmtId="0" fontId="23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1" fillId="21" borderId="0" xfId="0" applyFont="1" applyFill="1" applyAlignment="1">
      <alignment horizontal="left"/>
    </xf>
    <xf numFmtId="0" fontId="23" fillId="0" borderId="0" xfId="0" applyFont="1" applyAlignment="1">
      <alignment wrapText="1"/>
    </xf>
    <xf numFmtId="0" fontId="23" fillId="0" borderId="0" xfId="0" applyFont="1"/>
    <xf numFmtId="0" fontId="20" fillId="19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7" fontId="20" fillId="0" borderId="0" xfId="0" applyNumberFormat="1" applyFont="1" applyAlignment="1">
      <alignment horizontal="left"/>
    </xf>
    <xf numFmtId="0" fontId="21" fillId="0" borderId="0" xfId="0" applyFont="1" applyAlignment="1">
      <alignment wrapText="1"/>
    </xf>
    <xf numFmtId="0" fontId="21" fillId="3" borderId="0" xfId="0" applyFont="1" applyFill="1"/>
    <xf numFmtId="0" fontId="20" fillId="3" borderId="0" xfId="0" applyFont="1" applyFill="1"/>
    <xf numFmtId="0" fontId="20" fillId="0" borderId="0" xfId="0" applyFont="1" applyAlignment="1">
      <alignment horizontal="left" wrapText="1"/>
    </xf>
    <xf numFmtId="17" fontId="23" fillId="0" borderId="0" xfId="0" applyNumberFormat="1" applyFont="1" applyAlignment="1">
      <alignment horizontal="left"/>
    </xf>
    <xf numFmtId="0" fontId="24" fillId="3" borderId="0" xfId="0" applyFont="1" applyFill="1"/>
    <xf numFmtId="0" fontId="21" fillId="19" borderId="0" xfId="0" applyFont="1" applyFill="1" applyAlignment="1">
      <alignment horizontal="left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49" fontId="28" fillId="3" borderId="3" xfId="0" applyNumberFormat="1" applyFont="1" applyFill="1" applyBorder="1" applyAlignment="1">
      <alignment horizontal="left" vertical="center"/>
    </xf>
    <xf numFmtId="49" fontId="28" fillId="18" borderId="3" xfId="0" applyNumberFormat="1" applyFont="1" applyFill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8" borderId="3" xfId="0" applyFont="1" applyFill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49" fontId="33" fillId="18" borderId="3" xfId="0" applyNumberFormat="1" applyFont="1" applyFill="1" applyBorder="1" applyAlignment="1">
      <alignment horizontal="left" vertical="center"/>
    </xf>
    <xf numFmtId="49" fontId="28" fillId="22" borderId="3" xfId="0" applyNumberFormat="1" applyFont="1" applyFill="1" applyBorder="1" applyAlignment="1">
      <alignment horizontal="left" vertical="center"/>
    </xf>
    <xf numFmtId="49" fontId="28" fillId="23" borderId="3" xfId="0" applyNumberFormat="1" applyFont="1" applyFill="1" applyBorder="1" applyAlignment="1">
      <alignment horizontal="left" vertical="center"/>
    </xf>
    <xf numFmtId="49" fontId="31" fillId="23" borderId="3" xfId="0" applyNumberFormat="1" applyFont="1" applyFill="1" applyBorder="1" applyAlignment="1">
      <alignment horizontal="left" vertical="center"/>
    </xf>
    <xf numFmtId="0" fontId="28" fillId="18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left" vertical="center"/>
    </xf>
    <xf numFmtId="0" fontId="31" fillId="3" borderId="3" xfId="0" applyFont="1" applyFill="1" applyBorder="1" applyAlignment="1">
      <alignment horizontal="left" vertical="center"/>
    </xf>
    <xf numFmtId="0" fontId="28" fillId="6" borderId="14" xfId="0" applyFont="1" applyFill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49" fontId="0" fillId="0" borderId="0" xfId="0" applyNumberFormat="1"/>
    <xf numFmtId="0" fontId="0" fillId="8" borderId="0" xfId="0" applyFill="1"/>
    <xf numFmtId="0" fontId="7" fillId="0" borderId="3" xfId="0" applyFont="1" applyBorder="1"/>
    <xf numFmtId="0" fontId="36" fillId="24" borderId="3" xfId="0" applyFont="1" applyFill="1" applyBorder="1"/>
    <xf numFmtId="169" fontId="0" fillId="0" borderId="3" xfId="0" applyNumberFormat="1" applyBorder="1"/>
    <xf numFmtId="169" fontId="37" fillId="0" borderId="3" xfId="0" applyNumberFormat="1" applyFont="1" applyBorder="1"/>
    <xf numFmtId="0" fontId="37" fillId="0" borderId="3" xfId="0" applyFont="1" applyBorder="1"/>
    <xf numFmtId="0" fontId="20" fillId="0" borderId="3" xfId="0" applyFont="1" applyBorder="1"/>
    <xf numFmtId="169" fontId="0" fillId="0" borderId="0" xfId="0" applyNumberFormat="1"/>
    <xf numFmtId="0" fontId="36" fillId="24" borderId="14" xfId="0" applyFont="1" applyFill="1" applyBorder="1"/>
    <xf numFmtId="0" fontId="38" fillId="0" borderId="3" xfId="0" applyFont="1" applyBorder="1"/>
    <xf numFmtId="0" fontId="38" fillId="25" borderId="3" xfId="0" applyFont="1" applyFill="1" applyBorder="1"/>
    <xf numFmtId="0" fontId="7" fillId="0" borderId="19" xfId="0" applyFont="1" applyBorder="1"/>
    <xf numFmtId="0" fontId="3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0" fillId="26" borderId="14" xfId="0" applyFont="1" applyFill="1" applyBorder="1" applyAlignment="1">
      <alignment horizontal="center" vertical="center" wrapText="1"/>
    </xf>
    <xf numFmtId="0" fontId="40" fillId="26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4" xfId="0" applyBorder="1"/>
    <xf numFmtId="14" fontId="0" fillId="0" borderId="0" xfId="0" applyNumberFormat="1" applyAlignment="1">
      <alignment horizontal="left"/>
    </xf>
    <xf numFmtId="0" fontId="0" fillId="0" borderId="14" xfId="0" applyBorder="1" applyAlignment="1">
      <alignment horizontal="center"/>
    </xf>
    <xf numFmtId="0" fontId="41" fillId="0" borderId="0" xfId="0" applyFont="1" applyAlignment="1">
      <alignment horizontal="center"/>
    </xf>
    <xf numFmtId="0" fontId="16" fillId="0" borderId="0" xfId="0" applyFont="1"/>
    <xf numFmtId="0" fontId="7" fillId="28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7" fillId="7" borderId="3" xfId="0" applyFont="1" applyFill="1" applyBorder="1"/>
    <xf numFmtId="0" fontId="7" fillId="3" borderId="3" xfId="0" applyFont="1" applyFill="1" applyBorder="1"/>
    <xf numFmtId="0" fontId="0" fillId="6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42" fillId="6" borderId="0" xfId="0" applyFont="1" applyFill="1"/>
    <xf numFmtId="0" fontId="0" fillId="6" borderId="25" xfId="0" applyFill="1" applyBorder="1" applyAlignment="1">
      <alignment horizontal="center"/>
    </xf>
    <xf numFmtId="0" fontId="17" fillId="0" borderId="0" xfId="0" applyFont="1"/>
    <xf numFmtId="0" fontId="0" fillId="3" borderId="0" xfId="0" applyFill="1"/>
    <xf numFmtId="0" fontId="0" fillId="14" borderId="17" xfId="0" applyFill="1" applyBorder="1" applyAlignment="1">
      <alignment horizontal="center"/>
    </xf>
    <xf numFmtId="0" fontId="44" fillId="0" borderId="16" xfId="0" applyFont="1" applyBorder="1"/>
    <xf numFmtId="0" fontId="45" fillId="0" borderId="27" xfId="0" applyFont="1" applyBorder="1" applyAlignment="1">
      <alignment horizontal="center"/>
    </xf>
    <xf numFmtId="170" fontId="45" fillId="14" borderId="28" xfId="0" applyNumberFormat="1" applyFont="1" applyFill="1" applyBorder="1" applyAlignment="1">
      <alignment horizontal="center" vertical="center"/>
    </xf>
    <xf numFmtId="0" fontId="46" fillId="14" borderId="28" xfId="0" applyFont="1" applyFill="1" applyBorder="1" applyAlignment="1">
      <alignment horizontal="center" vertical="center"/>
    </xf>
    <xf numFmtId="170" fontId="45" fillId="14" borderId="29" xfId="0" applyNumberFormat="1" applyFont="1" applyFill="1" applyBorder="1" applyAlignment="1">
      <alignment horizontal="center" vertical="center"/>
    </xf>
    <xf numFmtId="0" fontId="44" fillId="0" borderId="26" xfId="0" applyFont="1" applyBorder="1"/>
    <xf numFmtId="0" fontId="0" fillId="6" borderId="0" xfId="0" applyFill="1" applyAlignment="1">
      <alignment horizontal="center"/>
    </xf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14" borderId="16" xfId="0" applyFont="1" applyFill="1" applyBorder="1"/>
    <xf numFmtId="15" fontId="45" fillId="14" borderId="30" xfId="0" applyNumberFormat="1" applyFont="1" applyFill="1" applyBorder="1" applyAlignment="1">
      <alignment horizontal="center" vertical="center"/>
    </xf>
    <xf numFmtId="0" fontId="7" fillId="29" borderId="0" xfId="0" applyFont="1" applyFill="1" applyAlignment="1">
      <alignment horizontal="center"/>
    </xf>
    <xf numFmtId="0" fontId="47" fillId="14" borderId="31" xfId="0" applyFont="1" applyFill="1" applyBorder="1" applyAlignment="1">
      <alignment horizontal="center" vertical="center" wrapText="1"/>
    </xf>
    <xf numFmtId="0" fontId="45" fillId="14" borderId="8" xfId="0" applyFont="1" applyFill="1" applyBorder="1" applyAlignment="1">
      <alignment horizontal="center" vertical="center"/>
    </xf>
    <xf numFmtId="0" fontId="45" fillId="14" borderId="32" xfId="0" applyFont="1" applyFill="1" applyBorder="1" applyAlignment="1">
      <alignment horizontal="center" vertical="center"/>
    </xf>
    <xf numFmtId="0" fontId="45" fillId="14" borderId="10" xfId="0" applyFont="1" applyFill="1" applyBorder="1" applyAlignment="1">
      <alignment horizontal="center" vertical="center"/>
    </xf>
    <xf numFmtId="0" fontId="45" fillId="14" borderId="33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/>
    </xf>
    <xf numFmtId="49" fontId="22" fillId="30" borderId="34" xfId="0" applyNumberFormat="1" applyFont="1" applyFill="1" applyBorder="1" applyAlignment="1">
      <alignment horizontal="center" vertical="center"/>
    </xf>
    <xf numFmtId="49" fontId="22" fillId="30" borderId="29" xfId="0" applyNumberFormat="1" applyFont="1" applyFill="1" applyBorder="1" applyAlignment="1">
      <alignment horizontal="center" vertical="center"/>
    </xf>
    <xf numFmtId="49" fontId="22" fillId="30" borderId="35" xfId="0" applyNumberFormat="1" applyFont="1" applyFill="1" applyBorder="1" applyAlignment="1">
      <alignment horizontal="center" vertical="center"/>
    </xf>
    <xf numFmtId="49" fontId="22" fillId="30" borderId="36" xfId="0" applyNumberFormat="1" applyFont="1" applyFill="1" applyBorder="1" applyAlignment="1">
      <alignment horizontal="center" vertical="center"/>
    </xf>
    <xf numFmtId="49" fontId="21" fillId="3" borderId="37" xfId="0" applyNumberFormat="1" applyFont="1" applyFill="1" applyBorder="1" applyAlignment="1">
      <alignment horizontal="center" vertical="center"/>
    </xf>
    <xf numFmtId="49" fontId="21" fillId="3" borderId="3" xfId="0" applyNumberFormat="1" applyFont="1" applyFill="1" applyBorder="1" applyAlignment="1">
      <alignment horizontal="center" vertical="center"/>
    </xf>
    <xf numFmtId="49" fontId="48" fillId="3" borderId="38" xfId="0" applyNumberFormat="1" applyFont="1" applyFill="1" applyBorder="1" applyAlignment="1">
      <alignment horizontal="center" vertical="center"/>
    </xf>
    <xf numFmtId="49" fontId="48" fillId="3" borderId="39" xfId="0" applyNumberFormat="1" applyFont="1" applyFill="1" applyBorder="1" applyAlignment="1">
      <alignment horizontal="center" vertical="center"/>
    </xf>
    <xf numFmtId="0" fontId="48" fillId="0" borderId="37" xfId="0" applyFont="1" applyBorder="1" applyAlignment="1">
      <alignment horizontal="center"/>
    </xf>
    <xf numFmtId="49" fontId="48" fillId="3" borderId="3" xfId="0" applyNumberFormat="1" applyFont="1" applyFill="1" applyBorder="1" applyAlignment="1">
      <alignment horizontal="center" vertical="center"/>
    </xf>
    <xf numFmtId="0" fontId="49" fillId="0" borderId="37" xfId="0" applyFont="1" applyBorder="1" applyAlignment="1">
      <alignment horizontal="center"/>
    </xf>
    <xf numFmtId="0" fontId="48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49" fontId="24" fillId="0" borderId="3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1" fillId="3" borderId="37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39" xfId="0" applyFont="1" applyFill="1" applyBorder="1" applyAlignment="1">
      <alignment horizontal="center" vertical="center"/>
    </xf>
    <xf numFmtId="0" fontId="21" fillId="3" borderId="40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21" fillId="3" borderId="43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/>
    </xf>
    <xf numFmtId="0" fontId="22" fillId="30" borderId="45" xfId="0" applyFont="1" applyFill="1" applyBorder="1" applyAlignment="1">
      <alignment horizontal="center"/>
    </xf>
    <xf numFmtId="49" fontId="22" fillId="30" borderId="28" xfId="0" applyNumberFormat="1" applyFont="1" applyFill="1" applyBorder="1" applyAlignment="1">
      <alignment horizontal="center" vertical="center"/>
    </xf>
    <xf numFmtId="0" fontId="22" fillId="30" borderId="46" xfId="0" applyFont="1" applyFill="1" applyBorder="1" applyAlignment="1">
      <alignment horizontal="center"/>
    </xf>
    <xf numFmtId="0" fontId="22" fillId="30" borderId="36" xfId="0" applyFont="1" applyFill="1" applyBorder="1" applyAlignment="1">
      <alignment horizontal="center"/>
    </xf>
    <xf numFmtId="49" fontId="49" fillId="3" borderId="3" xfId="0" applyNumberFormat="1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49" fontId="21" fillId="3" borderId="39" xfId="0" applyNumberFormat="1" applyFont="1" applyFill="1" applyBorder="1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49" fontId="22" fillId="31" borderId="34" xfId="0" applyNumberFormat="1" applyFont="1" applyFill="1" applyBorder="1" applyAlignment="1">
      <alignment horizontal="center" vertical="center"/>
    </xf>
    <xf numFmtId="49" fontId="22" fillId="31" borderId="28" xfId="0" applyNumberFormat="1" applyFont="1" applyFill="1" applyBorder="1" applyAlignment="1">
      <alignment horizontal="center" vertical="center"/>
    </xf>
    <xf numFmtId="49" fontId="22" fillId="31" borderId="45" xfId="0" applyNumberFormat="1" applyFont="1" applyFill="1" applyBorder="1" applyAlignment="1">
      <alignment horizontal="center" vertical="center"/>
    </xf>
    <xf numFmtId="49" fontId="22" fillId="31" borderId="48" xfId="0" applyNumberFormat="1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/>
    </xf>
    <xf numFmtId="0" fontId="7" fillId="0" borderId="0" xfId="0" applyFont="1"/>
    <xf numFmtId="0" fontId="21" fillId="3" borderId="37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21" fillId="3" borderId="39" xfId="0" applyFont="1" applyFill="1" applyBorder="1" applyAlignment="1">
      <alignment horizontal="center"/>
    </xf>
    <xf numFmtId="0" fontId="50" fillId="3" borderId="41" xfId="0" applyFont="1" applyFill="1" applyBorder="1" applyAlignment="1">
      <alignment horizontal="center" vertical="center"/>
    </xf>
    <xf numFmtId="0" fontId="21" fillId="3" borderId="50" xfId="0" applyFont="1" applyFill="1" applyBorder="1" applyAlignment="1">
      <alignment horizontal="center" vertical="center"/>
    </xf>
    <xf numFmtId="0" fontId="22" fillId="31" borderId="34" xfId="0" applyFont="1" applyFill="1" applyBorder="1" applyAlignment="1">
      <alignment horizontal="center"/>
    </xf>
    <xf numFmtId="0" fontId="22" fillId="31" borderId="29" xfId="0" applyFont="1" applyFill="1" applyBorder="1" applyAlignment="1">
      <alignment horizontal="center"/>
    </xf>
    <xf numFmtId="0" fontId="22" fillId="31" borderId="45" xfId="0" applyFont="1" applyFill="1" applyBorder="1" applyAlignment="1">
      <alignment horizontal="center"/>
    </xf>
    <xf numFmtId="0" fontId="22" fillId="31" borderId="48" xfId="0" applyFont="1" applyFill="1" applyBorder="1" applyAlignment="1">
      <alignment horizontal="center"/>
    </xf>
    <xf numFmtId="49" fontId="21" fillId="3" borderId="21" xfId="0" applyNumberFormat="1" applyFont="1" applyFill="1" applyBorder="1" applyAlignment="1">
      <alignment horizontal="center" vertical="center"/>
    </xf>
    <xf numFmtId="49" fontId="21" fillId="3" borderId="51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/>
    </xf>
    <xf numFmtId="0" fontId="48" fillId="3" borderId="39" xfId="0" applyFont="1" applyFill="1" applyBorder="1" applyAlignment="1">
      <alignment horizontal="center" vertical="center"/>
    </xf>
    <xf numFmtId="0" fontId="50" fillId="3" borderId="37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1" fillId="30" borderId="34" xfId="0" applyFont="1" applyFill="1" applyBorder="1" applyAlignment="1">
      <alignment horizontal="center"/>
    </xf>
    <xf numFmtId="0" fontId="51" fillId="30" borderId="29" xfId="0" applyFont="1" applyFill="1" applyBorder="1" applyAlignment="1">
      <alignment horizontal="center"/>
    </xf>
    <xf numFmtId="0" fontId="51" fillId="30" borderId="46" xfId="0" applyFont="1" applyFill="1" applyBorder="1" applyAlignment="1">
      <alignment horizontal="center"/>
    </xf>
    <xf numFmtId="49" fontId="12" fillId="0" borderId="37" xfId="0" applyNumberFormat="1" applyFont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50" fillId="3" borderId="39" xfId="0" applyNumberFormat="1" applyFont="1" applyFill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49" fontId="49" fillId="3" borderId="37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21" fillId="3" borderId="40" xfId="0" applyNumberFormat="1" applyFont="1" applyFill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49" fontId="21" fillId="3" borderId="42" xfId="0" applyNumberFormat="1" applyFont="1" applyFill="1" applyBorder="1" applyAlignment="1">
      <alignment horizontal="center" vertical="center"/>
    </xf>
    <xf numFmtId="49" fontId="21" fillId="3" borderId="43" xfId="0" applyNumberFormat="1" applyFont="1" applyFill="1" applyBorder="1" applyAlignment="1">
      <alignment horizontal="center" vertical="center"/>
    </xf>
    <xf numFmtId="49" fontId="21" fillId="3" borderId="44" xfId="0" applyNumberFormat="1" applyFont="1" applyFill="1" applyBorder="1" applyAlignment="1">
      <alignment horizontal="center" vertical="center"/>
    </xf>
    <xf numFmtId="0" fontId="22" fillId="30" borderId="34" xfId="0" applyFont="1" applyFill="1" applyBorder="1" applyAlignment="1">
      <alignment horizontal="center"/>
    </xf>
    <xf numFmtId="0" fontId="22" fillId="30" borderId="28" xfId="0" applyFont="1" applyFill="1" applyBorder="1" applyAlignment="1">
      <alignment horizontal="center"/>
    </xf>
    <xf numFmtId="49" fontId="48" fillId="0" borderId="3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49" fontId="21" fillId="0" borderId="42" xfId="0" applyNumberFormat="1" applyFont="1" applyBorder="1" applyAlignment="1">
      <alignment horizontal="center" vertical="center"/>
    </xf>
    <xf numFmtId="49" fontId="21" fillId="0" borderId="43" xfId="0" applyNumberFormat="1" applyFont="1" applyBorder="1" applyAlignment="1">
      <alignment horizontal="center" vertical="center"/>
    </xf>
    <xf numFmtId="49" fontId="21" fillId="0" borderId="44" xfId="0" applyNumberFormat="1" applyFont="1" applyBorder="1" applyAlignment="1">
      <alignment horizontal="center" vertical="center"/>
    </xf>
    <xf numFmtId="0" fontId="22" fillId="30" borderId="29" xfId="0" applyFont="1" applyFill="1" applyBorder="1" applyAlignment="1">
      <alignment horizontal="center"/>
    </xf>
    <xf numFmtId="0" fontId="49" fillId="3" borderId="1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49" fontId="21" fillId="0" borderId="40" xfId="0" applyNumberFormat="1" applyFont="1" applyBorder="1" applyAlignment="1">
      <alignment horizontal="center" vertical="center"/>
    </xf>
    <xf numFmtId="49" fontId="21" fillId="0" borderId="47" xfId="0" applyNumberFormat="1" applyFont="1" applyBorder="1" applyAlignment="1">
      <alignment horizontal="center" vertical="center"/>
    </xf>
    <xf numFmtId="49" fontId="49" fillId="0" borderId="37" xfId="0" applyNumberFormat="1" applyFont="1" applyBorder="1" applyAlignment="1">
      <alignment horizontal="center" vertical="center"/>
    </xf>
    <xf numFmtId="49" fontId="49" fillId="0" borderId="3" xfId="0" applyNumberFormat="1" applyFont="1" applyBorder="1" applyAlignment="1">
      <alignment horizontal="center" vertical="center"/>
    </xf>
    <xf numFmtId="49" fontId="48" fillId="0" borderId="39" xfId="0" applyNumberFormat="1" applyFont="1" applyBorder="1" applyAlignment="1">
      <alignment horizontal="center" vertical="center"/>
    </xf>
    <xf numFmtId="0" fontId="0" fillId="3" borderId="0" xfId="0" applyFill="1" applyAlignment="1">
      <alignment textRotation="90"/>
    </xf>
    <xf numFmtId="49" fontId="24" fillId="0" borderId="37" xfId="0" applyNumberFormat="1" applyFont="1" applyBorder="1" applyAlignment="1">
      <alignment horizontal="center" vertical="center"/>
    </xf>
    <xf numFmtId="49" fontId="48" fillId="0" borderId="37" xfId="0" applyNumberFormat="1" applyFont="1" applyBorder="1" applyAlignment="1">
      <alignment horizontal="center" vertical="center"/>
    </xf>
    <xf numFmtId="49" fontId="48" fillId="0" borderId="52" xfId="0" applyNumberFormat="1" applyFont="1" applyBorder="1" applyAlignment="1">
      <alignment horizontal="center" vertical="center"/>
    </xf>
    <xf numFmtId="49" fontId="48" fillId="0" borderId="53" xfId="0" applyNumberFormat="1" applyFont="1" applyBorder="1" applyAlignment="1">
      <alignment horizontal="center" vertical="center"/>
    </xf>
    <xf numFmtId="49" fontId="48" fillId="0" borderId="54" xfId="0" applyNumberFormat="1" applyFont="1" applyBorder="1" applyAlignment="1">
      <alignment horizontal="center" vertical="center"/>
    </xf>
    <xf numFmtId="49" fontId="48" fillId="0" borderId="55" xfId="0" applyNumberFormat="1" applyFont="1" applyBorder="1" applyAlignment="1">
      <alignment horizontal="center" vertical="center"/>
    </xf>
    <xf numFmtId="49" fontId="48" fillId="0" borderId="56" xfId="0" applyNumberFormat="1" applyFont="1" applyBorder="1" applyAlignment="1">
      <alignment horizontal="center" vertical="center"/>
    </xf>
    <xf numFmtId="0" fontId="22" fillId="30" borderId="57" xfId="0" applyFont="1" applyFill="1" applyBorder="1" applyAlignment="1">
      <alignment horizontal="center"/>
    </xf>
    <xf numFmtId="0" fontId="49" fillId="0" borderId="39" xfId="0" applyFont="1" applyBorder="1" applyAlignment="1">
      <alignment horizontal="center" vertical="center"/>
    </xf>
    <xf numFmtId="49" fontId="49" fillId="0" borderId="39" xfId="0" applyNumberFormat="1" applyFont="1" applyBorder="1" applyAlignment="1">
      <alignment horizontal="center" vertical="center"/>
    </xf>
    <xf numFmtId="49" fontId="48" fillId="3" borderId="1" xfId="0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49" fontId="48" fillId="0" borderId="58" xfId="0" applyNumberFormat="1" applyFont="1" applyBorder="1" applyAlignment="1">
      <alignment horizontal="center" vertical="center"/>
    </xf>
    <xf numFmtId="49" fontId="48" fillId="3" borderId="22" xfId="0" applyNumberFormat="1" applyFont="1" applyFill="1" applyBorder="1" applyAlignment="1">
      <alignment horizontal="center" vertical="center"/>
    </xf>
    <xf numFmtId="49" fontId="48" fillId="0" borderId="59" xfId="0" applyNumberFormat="1" applyFont="1" applyBorder="1" applyAlignment="1">
      <alignment horizontal="center" vertical="center"/>
    </xf>
    <xf numFmtId="49" fontId="48" fillId="0" borderId="18" xfId="0" applyNumberFormat="1" applyFont="1" applyBorder="1" applyAlignment="1">
      <alignment horizontal="center" vertical="center"/>
    </xf>
    <xf numFmtId="49" fontId="48" fillId="0" borderId="60" xfId="0" applyNumberFormat="1" applyFont="1" applyBorder="1" applyAlignment="1">
      <alignment horizontal="center" vertical="center"/>
    </xf>
    <xf numFmtId="0" fontId="53" fillId="29" borderId="64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49" fontId="24" fillId="3" borderId="3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24" fillId="3" borderId="39" xfId="0" applyNumberFormat="1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/>
    </xf>
    <xf numFmtId="49" fontId="24" fillId="0" borderId="39" xfId="0" applyNumberFormat="1" applyFont="1" applyBorder="1" applyAlignment="1">
      <alignment horizontal="center" vertical="center"/>
    </xf>
    <xf numFmtId="49" fontId="16" fillId="0" borderId="3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56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99" fillId="37" borderId="3" xfId="8" applyBorder="1" applyAlignment="1">
      <alignment horizontal="center" vertical="center" wrapText="1"/>
    </xf>
    <xf numFmtId="0" fontId="99" fillId="37" borderId="4" xfId="8" applyBorder="1" applyAlignment="1">
      <alignment horizontal="center" vertical="center" wrapText="1"/>
    </xf>
    <xf numFmtId="14" fontId="65" fillId="36" borderId="77" xfId="4" applyNumberFormat="1" applyFont="1" applyBorder="1" applyAlignment="1">
      <alignment horizontal="center"/>
    </xf>
    <xf numFmtId="0" fontId="66" fillId="36" borderId="78" xfId="4" applyFont="1" applyAlignment="1">
      <alignment horizontal="center"/>
    </xf>
    <xf numFmtId="9" fontId="62" fillId="35" borderId="81" xfId="6" applyNumberFormat="1" applyBorder="1" applyAlignment="1">
      <alignment horizontal="center"/>
    </xf>
    <xf numFmtId="9" fontId="62" fillId="35" borderId="82" xfId="6" applyNumberFormat="1" applyBorder="1" applyAlignment="1">
      <alignment horizontal="center"/>
    </xf>
    <xf numFmtId="0" fontId="63" fillId="36" borderId="77" xfId="4" applyBorder="1" applyAlignment="1">
      <alignment horizontal="center"/>
    </xf>
    <xf numFmtId="172" fontId="65" fillId="36" borderId="83" xfId="4" applyNumberFormat="1" applyFont="1" applyBorder="1" applyAlignment="1">
      <alignment horizontal="center"/>
    </xf>
    <xf numFmtId="172" fontId="65" fillId="36" borderId="84" xfId="4" applyNumberFormat="1" applyFont="1" applyBorder="1" applyAlignment="1">
      <alignment horizontal="center"/>
    </xf>
    <xf numFmtId="0" fontId="17" fillId="36" borderId="78" xfId="4" applyFont="1" applyAlignment="1">
      <alignment horizontal="center"/>
    </xf>
    <xf numFmtId="9" fontId="62" fillId="35" borderId="72" xfId="6" applyNumberFormat="1" applyAlignment="1">
      <alignment horizontal="center"/>
    </xf>
    <xf numFmtId="0" fontId="67" fillId="36" borderId="77" xfId="4" applyFont="1" applyBorder="1" applyAlignment="1">
      <alignment horizontal="center"/>
    </xf>
    <xf numFmtId="0" fontId="67" fillId="36" borderId="78" xfId="4" applyFont="1" applyAlignment="1">
      <alignment horizontal="center"/>
    </xf>
    <xf numFmtId="9" fontId="20" fillId="0" borderId="0" xfId="0" applyNumberFormat="1" applyFont="1"/>
    <xf numFmtId="0" fontId="68" fillId="33" borderId="86" xfId="0" applyFont="1" applyFill="1" applyBorder="1" applyAlignment="1">
      <alignment horizontal="center" vertical="center"/>
    </xf>
    <xf numFmtId="0" fontId="68" fillId="33" borderId="87" xfId="0" applyFont="1" applyFill="1" applyBorder="1" applyAlignment="1">
      <alignment horizontal="center" vertical="center"/>
    </xf>
    <xf numFmtId="0" fontId="68" fillId="33" borderId="39" xfId="0" applyFont="1" applyFill="1" applyBorder="1" applyAlignment="1">
      <alignment horizontal="center" vertical="center"/>
    </xf>
    <xf numFmtId="0" fontId="63" fillId="36" borderId="88" xfId="4" applyBorder="1" applyAlignment="1">
      <alignment horizontal="center" vertical="center"/>
    </xf>
    <xf numFmtId="0" fontId="63" fillId="36" borderId="90" xfId="4" applyBorder="1" applyAlignment="1">
      <alignment horizontal="center" vertical="center"/>
    </xf>
    <xf numFmtId="0" fontId="56" fillId="0" borderId="0" xfId="0" applyFont="1" applyAlignment="1">
      <alignment horizontal="left"/>
    </xf>
    <xf numFmtId="9" fontId="71" fillId="38" borderId="78" xfId="5" applyNumberFormat="1" applyAlignment="1">
      <alignment horizontal="center"/>
    </xf>
    <xf numFmtId="0" fontId="99" fillId="37" borderId="0" xfId="8" applyBorder="1" applyAlignment="1">
      <alignment horizontal="center" vertical="center" wrapText="1"/>
    </xf>
    <xf numFmtId="9" fontId="72" fillId="38" borderId="78" xfId="5" applyNumberFormat="1" applyFont="1" applyAlignment="1">
      <alignment horizontal="center" vertical="center" wrapText="1"/>
    </xf>
    <xf numFmtId="0" fontId="63" fillId="36" borderId="78" xfId="4" applyAlignment="1">
      <alignment horizontal="center"/>
    </xf>
    <xf numFmtId="9" fontId="20" fillId="0" borderId="0" xfId="2" applyFont="1" applyFill="1" applyBorder="1"/>
    <xf numFmtId="20" fontId="62" fillId="35" borderId="95" xfId="6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62" fillId="35" borderId="72" xfId="6"/>
    <xf numFmtId="0" fontId="62" fillId="0" borderId="0" xfId="0" applyFont="1"/>
    <xf numFmtId="0" fontId="20" fillId="41" borderId="5" xfId="0" applyFont="1" applyFill="1" applyBorder="1"/>
    <xf numFmtId="0" fontId="20" fillId="41" borderId="0" xfId="0" applyFont="1" applyFill="1"/>
    <xf numFmtId="0" fontId="20" fillId="41" borderId="22" xfId="0" applyFont="1" applyFill="1" applyBorder="1"/>
    <xf numFmtId="0" fontId="63" fillId="36" borderId="78" xfId="4" applyAlignment="1">
      <alignment horizontal="center" vertical="center"/>
    </xf>
    <xf numFmtId="0" fontId="20" fillId="41" borderId="49" xfId="0" applyFont="1" applyFill="1" applyBorder="1"/>
    <xf numFmtId="0" fontId="20" fillId="41" borderId="41" xfId="0" applyFont="1" applyFill="1" applyBorder="1"/>
    <xf numFmtId="0" fontId="20" fillId="41" borderId="47" xfId="0" applyFont="1" applyFill="1" applyBorder="1"/>
    <xf numFmtId="0" fontId="61" fillId="33" borderId="113" xfId="0" applyFont="1" applyFill="1" applyBorder="1" applyAlignment="1">
      <alignment horizontal="center" vertical="center" wrapText="1"/>
    </xf>
    <xf numFmtId="0" fontId="75" fillId="33" borderId="114" xfId="0" applyFont="1" applyFill="1" applyBorder="1" applyAlignment="1">
      <alignment horizontal="center" vertical="center" wrapText="1"/>
    </xf>
    <xf numFmtId="0" fontId="62" fillId="35" borderId="72" xfId="6" applyAlignment="1">
      <alignment horizontal="center" vertical="center"/>
    </xf>
    <xf numFmtId="0" fontId="20" fillId="42" borderId="118" xfId="0" applyFont="1" applyFill="1" applyBorder="1" applyAlignment="1">
      <alignment horizontal="center" vertical="center"/>
    </xf>
    <xf numFmtId="0" fontId="20" fillId="42" borderId="119" xfId="0" applyFont="1" applyFill="1" applyBorder="1" applyAlignment="1">
      <alignment horizontal="center" vertical="center"/>
    </xf>
    <xf numFmtId="0" fontId="77" fillId="0" borderId="0" xfId="0" applyFont="1"/>
    <xf numFmtId="0" fontId="78" fillId="0" borderId="0" xfId="0" applyFont="1"/>
    <xf numFmtId="0" fontId="63" fillId="36" borderId="83" xfId="4" applyBorder="1" applyAlignment="1" applyProtection="1">
      <alignment horizontal="center"/>
      <protection locked="0"/>
    </xf>
    <xf numFmtId="0" fontId="63" fillId="36" borderId="76" xfId="4" applyBorder="1" applyAlignment="1" applyProtection="1">
      <alignment horizontal="center"/>
      <protection locked="0"/>
    </xf>
    <xf numFmtId="0" fontId="20" fillId="42" borderId="133" xfId="0" applyFont="1" applyFill="1" applyBorder="1" applyAlignment="1">
      <alignment horizontal="center" vertical="center"/>
    </xf>
    <xf numFmtId="0" fontId="20" fillId="42" borderId="117" xfId="0" applyFont="1" applyFill="1" applyBorder="1" applyAlignment="1">
      <alignment horizontal="center" vertical="center"/>
    </xf>
    <xf numFmtId="0" fontId="79" fillId="0" borderId="0" xfId="0" applyFont="1" applyAlignment="1">
      <alignment vertical="center"/>
    </xf>
    <xf numFmtId="0" fontId="63" fillId="36" borderId="106" xfId="4" applyBorder="1" applyAlignment="1" applyProtection="1">
      <alignment horizontal="center"/>
      <protection locked="0"/>
    </xf>
    <xf numFmtId="0" fontId="63" fillId="36" borderId="105" xfId="4" applyBorder="1" applyAlignment="1" applyProtection="1">
      <alignment horizontal="center"/>
      <protection locked="0"/>
    </xf>
    <xf numFmtId="15" fontId="63" fillId="36" borderId="151" xfId="4" applyNumberFormat="1" applyBorder="1" applyAlignment="1" applyProtection="1">
      <alignment horizontal="center" vertical="center"/>
      <protection locked="0"/>
    </xf>
    <xf numFmtId="15" fontId="63" fillId="36" borderId="87" xfId="4" applyNumberFormat="1" applyBorder="1" applyAlignment="1" applyProtection="1">
      <alignment horizontal="center" vertical="center"/>
      <protection locked="0"/>
    </xf>
    <xf numFmtId="0" fontId="0" fillId="45" borderId="156" xfId="0" applyFill="1" applyBorder="1"/>
    <xf numFmtId="17" fontId="0" fillId="46" borderId="32" xfId="0" applyNumberFormat="1" applyFill="1" applyBorder="1" applyAlignment="1">
      <alignment horizontal="center"/>
    </xf>
    <xf numFmtId="0" fontId="0" fillId="46" borderId="6" xfId="0" applyFill="1" applyBorder="1"/>
    <xf numFmtId="0" fontId="12" fillId="29" borderId="157" xfId="4" applyFont="1" applyFill="1" applyBorder="1" applyAlignment="1">
      <alignment horizontal="center"/>
    </xf>
    <xf numFmtId="0" fontId="63" fillId="29" borderId="158" xfId="4" applyFill="1" applyBorder="1" applyAlignment="1">
      <alignment horizontal="center"/>
    </xf>
    <xf numFmtId="0" fontId="12" fillId="29" borderId="158" xfId="4" applyFont="1" applyFill="1" applyBorder="1" applyAlignment="1">
      <alignment horizontal="center"/>
    </xf>
    <xf numFmtId="0" fontId="12" fillId="29" borderId="159" xfId="4" applyFont="1" applyFill="1" applyBorder="1" applyAlignment="1">
      <alignment horizontal="center"/>
    </xf>
    <xf numFmtId="0" fontId="63" fillId="29" borderId="127" xfId="4" applyFill="1" applyBorder="1" applyAlignment="1">
      <alignment horizontal="center"/>
    </xf>
    <xf numFmtId="0" fontId="12" fillId="29" borderId="127" xfId="4" applyFont="1" applyFill="1" applyBorder="1" applyAlignment="1">
      <alignment horizontal="center"/>
    </xf>
    <xf numFmtId="0" fontId="12" fillId="29" borderId="160" xfId="4" applyFont="1" applyFill="1" applyBorder="1" applyAlignment="1">
      <alignment horizontal="center"/>
    </xf>
    <xf numFmtId="0" fontId="63" fillId="29" borderId="161" xfId="4" applyFill="1" applyBorder="1" applyAlignment="1">
      <alignment horizontal="center"/>
    </xf>
    <xf numFmtId="0" fontId="12" fillId="29" borderId="161" xfId="4" applyFont="1" applyFill="1" applyBorder="1" applyAlignment="1">
      <alignment horizontal="center"/>
    </xf>
    <xf numFmtId="0" fontId="0" fillId="46" borderId="162" xfId="0" applyFill="1" applyBorder="1"/>
    <xf numFmtId="0" fontId="12" fillId="29" borderId="9" xfId="0" applyFon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0" fontId="12" fillId="29" borderId="10" xfId="0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46" borderId="34" xfId="0" applyFill="1" applyBorder="1" applyAlignment="1">
      <alignment horizontal="center"/>
    </xf>
    <xf numFmtId="0" fontId="63" fillId="13" borderId="36" xfId="4" applyFill="1" applyBorder="1" applyAlignment="1">
      <alignment horizontal="center"/>
    </xf>
    <xf numFmtId="0" fontId="0" fillId="46" borderId="37" xfId="0" applyFill="1" applyBorder="1" applyAlignment="1">
      <alignment horizontal="center"/>
    </xf>
    <xf numFmtId="0" fontId="63" fillId="13" borderId="39" xfId="4" applyFill="1" applyBorder="1" applyAlignment="1">
      <alignment horizontal="center"/>
    </xf>
    <xf numFmtId="0" fontId="63" fillId="13" borderId="163" xfId="4" applyFill="1" applyBorder="1" applyAlignment="1">
      <alignment horizontal="center"/>
    </xf>
    <xf numFmtId="0" fontId="0" fillId="46" borderId="89" xfId="0" applyFill="1" applyBorder="1" applyAlignment="1">
      <alignment horizontal="center"/>
    </xf>
    <xf numFmtId="0" fontId="63" fillId="13" borderId="56" xfId="4" applyFill="1" applyBorder="1" applyAlignment="1">
      <alignment horizontal="center"/>
    </xf>
    <xf numFmtId="0" fontId="0" fillId="46" borderId="3" xfId="0" applyFill="1" applyBorder="1"/>
    <xf numFmtId="0" fontId="0" fillId="46" borderId="1" xfId="0" applyFill="1" applyBorder="1"/>
    <xf numFmtId="0" fontId="63" fillId="36" borderId="78" xfId="4"/>
    <xf numFmtId="0" fontId="63" fillId="36" borderId="83" xfId="4" applyBorder="1"/>
    <xf numFmtId="0" fontId="63" fillId="36" borderId="3" xfId="4" applyBorder="1"/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63" fillId="29" borderId="166" xfId="4" applyFill="1" applyBorder="1" applyAlignment="1">
      <alignment horizontal="center"/>
    </xf>
    <xf numFmtId="0" fontId="12" fillId="29" borderId="166" xfId="4" applyFont="1" applyFill="1" applyBorder="1" applyAlignment="1">
      <alignment horizontal="center"/>
    </xf>
    <xf numFmtId="0" fontId="63" fillId="29" borderId="78" xfId="4" applyFill="1" applyAlignment="1">
      <alignment horizontal="center"/>
    </xf>
    <xf numFmtId="0" fontId="63" fillId="29" borderId="107" xfId="4" applyFill="1" applyBorder="1" applyAlignment="1">
      <alignment horizontal="center"/>
    </xf>
    <xf numFmtId="0" fontId="20" fillId="0" borderId="0" xfId="0" applyFont="1" applyAlignment="1" applyProtection="1">
      <alignment horizontal="left"/>
      <protection locked="0"/>
    </xf>
    <xf numFmtId="17" fontId="0" fillId="46" borderId="33" xfId="0" applyNumberFormat="1" applyFill="1" applyBorder="1" applyAlignment="1">
      <alignment horizontal="center"/>
    </xf>
    <xf numFmtId="0" fontId="0" fillId="46" borderId="26" xfId="0" applyFill="1" applyBorder="1" applyAlignment="1">
      <alignment horizontal="center"/>
    </xf>
    <xf numFmtId="0" fontId="0" fillId="46" borderId="103" xfId="0" applyFill="1" applyBorder="1" applyAlignment="1">
      <alignment horizontal="center"/>
    </xf>
    <xf numFmtId="0" fontId="0" fillId="46" borderId="7" xfId="0" applyFill="1" applyBorder="1" applyAlignment="1">
      <alignment horizontal="center"/>
    </xf>
    <xf numFmtId="0" fontId="0" fillId="46" borderId="171" xfId="0" applyFill="1" applyBorder="1" applyAlignment="1">
      <alignment horizontal="center"/>
    </xf>
    <xf numFmtId="0" fontId="0" fillId="29" borderId="33" xfId="0" applyFill="1" applyBorder="1" applyAlignment="1">
      <alignment horizontal="center"/>
    </xf>
    <xf numFmtId="0" fontId="17" fillId="0" borderId="172" xfId="0" applyFont="1" applyBorder="1"/>
    <xf numFmtId="0" fontId="40" fillId="0" borderId="0" xfId="0" applyFont="1" applyAlignment="1">
      <alignment horizontal="right"/>
    </xf>
    <xf numFmtId="170" fontId="17" fillId="19" borderId="0" xfId="0" applyNumberFormat="1" applyFont="1" applyFill="1"/>
    <xf numFmtId="0" fontId="17" fillId="19" borderId="0" xfId="0" applyFont="1" applyFill="1" applyAlignment="1">
      <alignment horizontal="center"/>
    </xf>
    <xf numFmtId="170" fontId="17" fillId="19" borderId="0" xfId="0" applyNumberFormat="1" applyFont="1" applyFill="1" applyAlignment="1">
      <alignment horizontal="left"/>
    </xf>
    <xf numFmtId="0" fontId="17" fillId="0" borderId="173" xfId="0" applyFont="1" applyBorder="1"/>
    <xf numFmtId="15" fontId="40" fillId="0" borderId="34" xfId="0" applyNumberFormat="1" applyFont="1" applyBorder="1" applyAlignment="1">
      <alignment horizontal="center"/>
    </xf>
    <xf numFmtId="15" fontId="40" fillId="0" borderId="45" xfId="0" applyNumberFormat="1" applyFont="1" applyBorder="1" applyAlignment="1">
      <alignment horizontal="center"/>
    </xf>
    <xf numFmtId="15" fontId="40" fillId="0" borderId="36" xfId="0" applyNumberFormat="1" applyFont="1" applyBorder="1" applyAlignment="1">
      <alignment horizontal="center"/>
    </xf>
    <xf numFmtId="15" fontId="40" fillId="0" borderId="29" xfId="0" applyNumberFormat="1" applyFont="1" applyBorder="1" applyAlignment="1">
      <alignment horizontal="center"/>
    </xf>
    <xf numFmtId="15" fontId="40" fillId="0" borderId="114" xfId="0" applyNumberFormat="1" applyFont="1" applyBorder="1" applyAlignment="1">
      <alignment horizontal="center"/>
    </xf>
    <xf numFmtId="0" fontId="40" fillId="19" borderId="174" xfId="0" applyFont="1" applyFill="1" applyBorder="1" applyAlignment="1">
      <alignment horizontal="center" vertical="center" wrapText="1"/>
    </xf>
    <xf numFmtId="0" fontId="40" fillId="19" borderId="175" xfId="0" applyFont="1" applyFill="1" applyBorder="1" applyAlignment="1">
      <alignment horizontal="center" vertical="center"/>
    </xf>
    <xf numFmtId="0" fontId="40" fillId="19" borderId="14" xfId="0" applyFont="1" applyFill="1" applyBorder="1" applyAlignment="1">
      <alignment horizontal="center" vertical="center"/>
    </xf>
    <xf numFmtId="0" fontId="40" fillId="19" borderId="59" xfId="0" applyFont="1" applyFill="1" applyBorder="1" applyAlignment="1">
      <alignment horizontal="center" vertical="center"/>
    </xf>
    <xf numFmtId="0" fontId="40" fillId="19" borderId="60" xfId="0" applyFont="1" applyFill="1" applyBorder="1" applyAlignment="1">
      <alignment horizontal="center" vertical="center"/>
    </xf>
    <xf numFmtId="0" fontId="40" fillId="19" borderId="22" xfId="0" applyFont="1" applyFill="1" applyBorder="1" applyAlignment="1">
      <alignment horizontal="center" vertical="center"/>
    </xf>
    <xf numFmtId="0" fontId="40" fillId="19" borderId="176" xfId="0" applyFont="1" applyFill="1" applyBorder="1" applyAlignment="1">
      <alignment horizontal="center" vertical="center"/>
    </xf>
    <xf numFmtId="0" fontId="17" fillId="21" borderId="177" xfId="0" applyFont="1" applyFill="1" applyBorder="1" applyAlignment="1">
      <alignment horizontal="center" vertical="center"/>
    </xf>
    <xf numFmtId="0" fontId="17" fillId="21" borderId="178" xfId="0" applyFont="1" applyFill="1" applyBorder="1" applyAlignment="1">
      <alignment horizontal="center" vertical="center"/>
    </xf>
    <xf numFmtId="0" fontId="17" fillId="21" borderId="179" xfId="0" applyFont="1" applyFill="1" applyBorder="1" applyAlignment="1">
      <alignment horizontal="center" vertical="center"/>
    </xf>
    <xf numFmtId="0" fontId="67" fillId="0" borderId="180" xfId="0" applyFont="1" applyBorder="1" applyAlignment="1">
      <alignment horizontal="center" vertical="center"/>
    </xf>
    <xf numFmtId="0" fontId="67" fillId="0" borderId="181" xfId="0" applyFont="1" applyBorder="1" applyAlignment="1">
      <alignment horizontal="center" vertical="center"/>
    </xf>
    <xf numFmtId="0" fontId="17" fillId="0" borderId="181" xfId="0" applyFont="1" applyBorder="1" applyAlignment="1">
      <alignment horizontal="center" vertical="center"/>
    </xf>
    <xf numFmtId="0" fontId="17" fillId="0" borderId="182" xfId="0" applyFont="1" applyBorder="1" applyAlignment="1">
      <alignment horizontal="center" vertical="center"/>
    </xf>
    <xf numFmtId="0" fontId="17" fillId="0" borderId="180" xfId="0" applyFont="1" applyBorder="1" applyAlignment="1">
      <alignment horizontal="center" vertical="center"/>
    </xf>
    <xf numFmtId="0" fontId="66" fillId="3" borderId="180" xfId="0" applyFont="1" applyFill="1" applyBorder="1" applyAlignment="1">
      <alignment horizontal="center" vertical="center"/>
    </xf>
    <xf numFmtId="0" fontId="66" fillId="3" borderId="181" xfId="0" applyFont="1" applyFill="1" applyBorder="1" applyAlignment="1">
      <alignment horizontal="center" vertical="center"/>
    </xf>
    <xf numFmtId="0" fontId="17" fillId="3" borderId="181" xfId="0" applyFont="1" applyFill="1" applyBorder="1" applyAlignment="1">
      <alignment horizontal="center" vertical="center"/>
    </xf>
    <xf numFmtId="0" fontId="66" fillId="0" borderId="180" xfId="0" applyFont="1" applyBorder="1" applyAlignment="1">
      <alignment horizontal="center" vertical="center"/>
    </xf>
    <xf numFmtId="0" fontId="66" fillId="0" borderId="181" xfId="0" applyFont="1" applyBorder="1" applyAlignment="1">
      <alignment horizontal="center" vertical="center"/>
    </xf>
    <xf numFmtId="0" fontId="66" fillId="0" borderId="183" xfId="0" applyFont="1" applyBorder="1" applyAlignment="1">
      <alignment horizontal="center" vertical="center"/>
    </xf>
    <xf numFmtId="0" fontId="66" fillId="0" borderId="184" xfId="0" applyFont="1" applyBorder="1" applyAlignment="1">
      <alignment horizontal="center" vertical="center"/>
    </xf>
    <xf numFmtId="0" fontId="17" fillId="3" borderId="184" xfId="0" applyFont="1" applyFill="1" applyBorder="1" applyAlignment="1">
      <alignment horizontal="center" vertical="center"/>
    </xf>
    <xf numFmtId="0" fontId="17" fillId="0" borderId="184" xfId="0" applyFont="1" applyBorder="1" applyAlignment="1">
      <alignment horizontal="center" vertical="center"/>
    </xf>
    <xf numFmtId="0" fontId="17" fillId="0" borderId="185" xfId="0" applyFont="1" applyBorder="1" applyAlignment="1">
      <alignment horizontal="center" vertical="center"/>
    </xf>
    <xf numFmtId="49" fontId="17" fillId="21" borderId="177" xfId="0" applyNumberFormat="1" applyFont="1" applyFill="1" applyBorder="1" applyAlignment="1">
      <alignment horizontal="center" vertical="center"/>
    </xf>
    <xf numFmtId="49" fontId="17" fillId="21" borderId="178" xfId="0" applyNumberFormat="1" applyFont="1" applyFill="1" applyBorder="1" applyAlignment="1">
      <alignment horizontal="center" vertical="center"/>
    </xf>
    <xf numFmtId="49" fontId="67" fillId="0" borderId="180" xfId="0" applyNumberFormat="1" applyFont="1" applyBorder="1" applyAlignment="1">
      <alignment horizontal="center" vertical="center"/>
    </xf>
    <xf numFmtId="49" fontId="67" fillId="0" borderId="181" xfId="0" applyNumberFormat="1" applyFont="1" applyBorder="1" applyAlignment="1">
      <alignment horizontal="center" vertical="center"/>
    </xf>
    <xf numFmtId="49" fontId="17" fillId="0" borderId="181" xfId="0" applyNumberFormat="1" applyFont="1" applyBorder="1" applyAlignment="1">
      <alignment horizontal="center" vertical="center"/>
    </xf>
    <xf numFmtId="49" fontId="17" fillId="0" borderId="180" xfId="0" applyNumberFormat="1" applyFont="1" applyBorder="1" applyAlignment="1">
      <alignment horizontal="center" vertical="center"/>
    </xf>
    <xf numFmtId="0" fontId="67" fillId="3" borderId="181" xfId="0" applyFont="1" applyFill="1" applyBorder="1" applyAlignment="1">
      <alignment horizontal="center" vertical="center"/>
    </xf>
    <xf numFmtId="0" fontId="17" fillId="0" borderId="183" xfId="0" applyFont="1" applyBorder="1" applyAlignment="1">
      <alignment horizontal="center" vertical="center"/>
    </xf>
    <xf numFmtId="0" fontId="67" fillId="0" borderId="186" xfId="0" applyFont="1" applyBorder="1" applyAlignment="1">
      <alignment horizontal="center" vertical="center"/>
    </xf>
    <xf numFmtId="0" fontId="17" fillId="6" borderId="187" xfId="0" applyFont="1" applyFill="1" applyBorder="1" applyAlignment="1">
      <alignment horizontal="center" vertical="center"/>
    </xf>
    <xf numFmtId="0" fontId="17" fillId="6" borderId="178" xfId="0" applyFont="1" applyFill="1" applyBorder="1" applyAlignment="1">
      <alignment horizontal="center" vertical="center"/>
    </xf>
    <xf numFmtId="0" fontId="66" fillId="0" borderId="188" xfId="0" applyFont="1" applyBorder="1" applyAlignment="1">
      <alignment horizontal="center" vertical="center"/>
    </xf>
    <xf numFmtId="0" fontId="17" fillId="3" borderId="180" xfId="0" applyFont="1" applyFill="1" applyBorder="1" applyAlignment="1">
      <alignment horizontal="center" vertical="center"/>
    </xf>
    <xf numFmtId="0" fontId="17" fillId="3" borderId="182" xfId="0" applyFont="1" applyFill="1" applyBorder="1" applyAlignment="1">
      <alignment horizontal="center" vertical="center"/>
    </xf>
    <xf numFmtId="0" fontId="40" fillId="0" borderId="180" xfId="0" applyFont="1" applyBorder="1" applyAlignment="1">
      <alignment horizontal="center" vertical="center"/>
    </xf>
    <xf numFmtId="0" fontId="40" fillId="0" borderId="181" xfId="0" applyFont="1" applyBorder="1" applyAlignment="1">
      <alignment horizontal="center" vertical="center"/>
    </xf>
    <xf numFmtId="0" fontId="40" fillId="3" borderId="181" xfId="0" applyFont="1" applyFill="1" applyBorder="1" applyAlignment="1">
      <alignment horizontal="center" vertical="center"/>
    </xf>
    <xf numFmtId="0" fontId="40" fillId="0" borderId="182" xfId="0" applyFont="1" applyBorder="1" applyAlignment="1">
      <alignment horizontal="center" vertical="center"/>
    </xf>
    <xf numFmtId="0" fontId="17" fillId="21" borderId="187" xfId="0" applyFont="1" applyFill="1" applyBorder="1" applyAlignment="1">
      <alignment horizontal="center" vertical="center"/>
    </xf>
    <xf numFmtId="0" fontId="67" fillId="0" borderId="188" xfId="0" applyFont="1" applyBorder="1" applyAlignment="1">
      <alignment horizontal="center" vertical="center"/>
    </xf>
    <xf numFmtId="0" fontId="17" fillId="0" borderId="180" xfId="0" applyFont="1" applyBorder="1"/>
    <xf numFmtId="0" fontId="17" fillId="0" borderId="181" xfId="0" applyFont="1" applyBorder="1"/>
    <xf numFmtId="0" fontId="17" fillId="0" borderId="189" xfId="0" applyFont="1" applyBorder="1" applyAlignment="1">
      <alignment horizontal="center" vertical="center"/>
    </xf>
    <xf numFmtId="0" fontId="17" fillId="0" borderId="190" xfId="0" applyFont="1" applyBorder="1" applyAlignment="1">
      <alignment horizontal="center" vertical="center"/>
    </xf>
    <xf numFmtId="0" fontId="17" fillId="0" borderId="19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textRotation="255"/>
    </xf>
    <xf numFmtId="0" fontId="40" fillId="0" borderId="41" xfId="0" applyFont="1" applyBorder="1"/>
    <xf numFmtId="0" fontId="40" fillId="0" borderId="0" xfId="0" applyFont="1"/>
    <xf numFmtId="0" fontId="40" fillId="0" borderId="41" xfId="0" applyFont="1" applyBorder="1" applyAlignment="1">
      <alignment horizontal="right"/>
    </xf>
    <xf numFmtId="0" fontId="82" fillId="0" borderId="0" xfId="0" applyFont="1"/>
    <xf numFmtId="0" fontId="7" fillId="47" borderId="3" xfId="0" applyFont="1" applyFill="1" applyBorder="1" applyAlignment="1">
      <alignment horizontal="center"/>
    </xf>
    <xf numFmtId="0" fontId="7" fillId="47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70" fontId="7" fillId="0" borderId="0" xfId="0" applyNumberFormat="1" applyFont="1"/>
    <xf numFmtId="0" fontId="7" fillId="47" borderId="3" xfId="0" applyFont="1" applyFill="1" applyBorder="1"/>
    <xf numFmtId="0" fontId="8" fillId="0" borderId="0" xfId="0" applyFont="1"/>
    <xf numFmtId="0" fontId="40" fillId="0" borderId="3" xfId="0" applyFont="1" applyBorder="1"/>
    <xf numFmtId="0" fontId="7" fillId="47" borderId="2" xfId="0" applyFont="1" applyFill="1" applyBorder="1" applyAlignment="1">
      <alignment horizontal="center"/>
    </xf>
    <xf numFmtId="0" fontId="40" fillId="47" borderId="4" xfId="0" applyFont="1" applyFill="1" applyBorder="1" applyAlignment="1">
      <alignment horizontal="center"/>
    </xf>
    <xf numFmtId="0" fontId="7" fillId="47" borderId="13" xfId="0" applyFont="1" applyFill="1" applyBorder="1" applyAlignment="1">
      <alignment horizontal="center"/>
    </xf>
    <xf numFmtId="0" fontId="7" fillId="47" borderId="4" xfId="0" applyFont="1" applyFill="1" applyBorder="1"/>
    <xf numFmtId="0" fontId="0" fillId="0" borderId="3" xfId="0" applyBorder="1" applyAlignment="1">
      <alignment horizontal="right"/>
    </xf>
    <xf numFmtId="173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6" fillId="0" borderId="13" xfId="0" applyFont="1" applyBorder="1" applyAlignment="1">
      <alignment horizontal="center"/>
    </xf>
    <xf numFmtId="0" fontId="17" fillId="47" borderId="14" xfId="0" applyFont="1" applyFill="1" applyBorder="1"/>
    <xf numFmtId="0" fontId="7" fillId="47" borderId="21" xfId="0" applyFont="1" applyFill="1" applyBorder="1" applyAlignment="1">
      <alignment horizontal="center"/>
    </xf>
    <xf numFmtId="0" fontId="7" fillId="47" borderId="146" xfId="0" applyFont="1" applyFill="1" applyBorder="1" applyAlignment="1">
      <alignment horizontal="center"/>
    </xf>
    <xf numFmtId="0" fontId="7" fillId="47" borderId="14" xfId="0" applyFont="1" applyFill="1" applyBorder="1" applyAlignment="1">
      <alignment horizontal="center"/>
    </xf>
    <xf numFmtId="0" fontId="7" fillId="47" borderId="15" xfId="0" applyFont="1" applyFill="1" applyBorder="1" applyAlignment="1">
      <alignment horizontal="center"/>
    </xf>
    <xf numFmtId="49" fontId="83" fillId="48" borderId="192" xfId="0" applyNumberFormat="1" applyFont="1" applyFill="1" applyBorder="1"/>
    <xf numFmtId="49" fontId="84" fillId="49" borderId="192" xfId="0" applyNumberFormat="1" applyFont="1" applyFill="1" applyBorder="1"/>
    <xf numFmtId="4" fontId="84" fillId="49" borderId="192" xfId="0" applyNumberFormat="1" applyFont="1" applyFill="1" applyBorder="1"/>
    <xf numFmtId="4" fontId="85" fillId="49" borderId="192" xfId="0" applyNumberFormat="1" applyFont="1" applyFill="1" applyBorder="1"/>
    <xf numFmtId="4" fontId="84" fillId="50" borderId="192" xfId="0" applyNumberFormat="1" applyFont="1" applyFill="1" applyBorder="1"/>
    <xf numFmtId="4" fontId="84" fillId="51" borderId="192" xfId="0" applyNumberFormat="1" applyFont="1" applyFill="1" applyBorder="1"/>
    <xf numFmtId="4" fontId="85" fillId="51" borderId="192" xfId="0" applyNumberFormat="1" applyFont="1" applyFill="1" applyBorder="1"/>
    <xf numFmtId="4" fontId="86" fillId="51" borderId="192" xfId="0" applyNumberFormat="1" applyFont="1" applyFill="1" applyBorder="1"/>
    <xf numFmtId="4" fontId="86" fillId="49" borderId="192" xfId="0" applyNumberFormat="1" applyFont="1" applyFill="1" applyBorder="1"/>
    <xf numFmtId="49" fontId="87" fillId="48" borderId="194" xfId="0" applyNumberFormat="1" applyFont="1" applyFill="1" applyBorder="1"/>
    <xf numFmtId="4" fontId="87" fillId="48" borderId="192" xfId="0" applyNumberFormat="1" applyFont="1" applyFill="1" applyBorder="1"/>
    <xf numFmtId="4" fontId="88" fillId="48" borderId="192" xfId="0" applyNumberFormat="1" applyFont="1" applyFill="1" applyBorder="1"/>
    <xf numFmtId="4" fontId="87" fillId="52" borderId="192" xfId="0" applyNumberFormat="1" applyFont="1" applyFill="1" applyBorder="1"/>
    <xf numFmtId="4" fontId="87" fillId="51" borderId="192" xfId="0" applyNumberFormat="1" applyFont="1" applyFill="1" applyBorder="1"/>
    <xf numFmtId="4" fontId="88" fillId="51" borderId="192" xfId="0" applyNumberFormat="1" applyFont="1" applyFill="1" applyBorder="1"/>
    <xf numFmtId="49" fontId="89" fillId="0" borderId="194" xfId="0" applyNumberFormat="1" applyFont="1" applyBorder="1"/>
    <xf numFmtId="4" fontId="89" fillId="0" borderId="192" xfId="0" applyNumberFormat="1" applyFont="1" applyBorder="1"/>
    <xf numFmtId="4" fontId="90" fillId="0" borderId="192" xfId="0" applyNumberFormat="1" applyFont="1" applyBorder="1"/>
    <xf numFmtId="49" fontId="40" fillId="19" borderId="87" xfId="0" applyNumberFormat="1" applyFont="1" applyFill="1" applyBorder="1" applyAlignment="1">
      <alignment horizontal="center"/>
    </xf>
    <xf numFmtId="0" fontId="40" fillId="19" borderId="87" xfId="0" applyFont="1" applyFill="1" applyBorder="1" applyAlignment="1">
      <alignment horizontal="center"/>
    </xf>
    <xf numFmtId="49" fontId="40" fillId="47" borderId="23" xfId="0" applyNumberFormat="1" applyFont="1" applyFill="1" applyBorder="1" applyAlignment="1">
      <alignment horizontal="center"/>
    </xf>
    <xf numFmtId="0" fontId="40" fillId="47" borderId="87" xfId="0" applyFont="1" applyFill="1" applyBorder="1" applyAlignment="1">
      <alignment horizontal="center"/>
    </xf>
    <xf numFmtId="49" fontId="7" fillId="47" borderId="87" xfId="0" applyNumberFormat="1" applyFont="1" applyFill="1" applyBorder="1" applyAlignment="1">
      <alignment horizontal="center" vertical="center"/>
    </xf>
    <xf numFmtId="0" fontId="7" fillId="47" borderId="87" xfId="0" applyFont="1" applyFill="1" applyBorder="1" applyAlignment="1">
      <alignment horizontal="center"/>
    </xf>
    <xf numFmtId="49" fontId="7" fillId="47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91" fillId="47" borderId="3" xfId="0" applyFont="1" applyFill="1" applyBorder="1"/>
    <xf numFmtId="0" fontId="35" fillId="47" borderId="3" xfId="0" applyFont="1" applyFill="1" applyBorder="1" applyAlignment="1">
      <alignment horizontal="center"/>
    </xf>
    <xf numFmtId="0" fontId="0" fillId="47" borderId="0" xfId="0" applyFill="1"/>
    <xf numFmtId="9" fontId="7" fillId="0" borderId="3" xfId="0" applyNumberFormat="1" applyFont="1" applyBorder="1" applyAlignment="1">
      <alignment horizontal="center" vertical="center"/>
    </xf>
    <xf numFmtId="0" fontId="7" fillId="47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0" fillId="53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92" fillId="0" borderId="3" xfId="0" applyNumberFormat="1" applyFont="1" applyBorder="1"/>
    <xf numFmtId="0" fontId="16" fillId="0" borderId="2" xfId="0" applyFont="1" applyBorder="1" applyAlignment="1">
      <alignment horizontal="center"/>
    </xf>
    <xf numFmtId="0" fontId="40" fillId="19" borderId="24" xfId="0" applyFont="1" applyFill="1" applyBorder="1" applyAlignment="1">
      <alignment horizontal="center"/>
    </xf>
    <xf numFmtId="0" fontId="7" fillId="47" borderId="24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6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54" borderId="0" xfId="0" applyFill="1"/>
    <xf numFmtId="0" fontId="0" fillId="55" borderId="0" xfId="0" applyFill="1"/>
    <xf numFmtId="14" fontId="7" fillId="0" borderId="3" xfId="0" applyNumberFormat="1" applyFont="1" applyBorder="1" applyAlignment="1">
      <alignment horizontal="center"/>
    </xf>
    <xf numFmtId="0" fontId="7" fillId="19" borderId="8" xfId="0" applyFont="1" applyFill="1" applyBorder="1" applyAlignment="1">
      <alignment horizontal="center" vertical="center" wrapText="1"/>
    </xf>
    <xf numFmtId="0" fontId="7" fillId="19" borderId="59" xfId="0" applyFont="1" applyFill="1" applyBorder="1" applyAlignment="1">
      <alignment horizontal="center" vertical="center"/>
    </xf>
    <xf numFmtId="0" fontId="7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5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52" xfId="0" applyFill="1" applyBorder="1" applyAlignment="1">
      <alignment horizontal="center" vertical="center"/>
    </xf>
    <xf numFmtId="0" fontId="0" fillId="0" borderId="54" xfId="0" applyBorder="1"/>
    <xf numFmtId="0" fontId="0" fillId="19" borderId="16" xfId="0" applyFill="1" applyBorder="1" applyAlignment="1">
      <alignment horizontal="center" vertical="center"/>
    </xf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9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0" fillId="3" borderId="54" xfId="0" applyFill="1" applyBorder="1"/>
    <xf numFmtId="0" fontId="7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9" xfId="0" applyBorder="1"/>
    <xf numFmtId="0" fontId="0" fillId="19" borderId="40" xfId="0" applyFill="1" applyBorder="1" applyAlignment="1">
      <alignment horizontal="center" vertical="center"/>
    </xf>
    <xf numFmtId="0" fontId="0" fillId="0" borderId="55" xfId="0" applyBorder="1"/>
    <xf numFmtId="0" fontId="0" fillId="3" borderId="53" xfId="0" applyFill="1" applyBorder="1"/>
    <xf numFmtId="49" fontId="18" fillId="0" borderId="8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4" fontId="0" fillId="0" borderId="196" xfId="0" applyNumberFormat="1" applyBorder="1" applyAlignment="1">
      <alignment horizontal="center"/>
    </xf>
    <xf numFmtId="14" fontId="0" fillId="0" borderId="57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5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52" xfId="0" applyNumberFormat="1" applyBorder="1" applyAlignment="1">
      <alignment horizontal="center"/>
    </xf>
    <xf numFmtId="0" fontId="0" fillId="3" borderId="54" xfId="0" applyFill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7" fillId="0" borderId="8" xfId="0" applyFont="1" applyBorder="1" applyAlignment="1">
      <alignment horizontal="center"/>
    </xf>
    <xf numFmtId="0" fontId="7" fillId="6" borderId="196" xfId="0" applyFont="1" applyFill="1" applyBorder="1" applyAlignment="1">
      <alignment horizontal="center"/>
    </xf>
    <xf numFmtId="0" fontId="93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/>
    </xf>
    <xf numFmtId="0" fontId="93" fillId="6" borderId="54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62" fillId="2" borderId="3" xfId="0" applyFont="1" applyFill="1" applyBorder="1" applyAlignment="1">
      <alignment horizontal="center"/>
    </xf>
    <xf numFmtId="0" fontId="62" fillId="2" borderId="3" xfId="0" applyFont="1" applyFill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20" fontId="51" fillId="6" borderId="3" xfId="0" applyNumberFormat="1" applyFont="1" applyFill="1" applyBorder="1" applyAlignment="1">
      <alignment horizontal="center"/>
    </xf>
    <xf numFmtId="0" fontId="93" fillId="6" borderId="3" xfId="0" applyFont="1" applyFill="1" applyBorder="1" applyAlignment="1">
      <alignment horizontal="center"/>
    </xf>
    <xf numFmtId="20" fontId="7" fillId="6" borderId="3" xfId="0" applyNumberFormat="1" applyFont="1" applyFill="1" applyBorder="1" applyAlignment="1">
      <alignment horizontal="center"/>
    </xf>
    <xf numFmtId="0" fontId="35" fillId="0" borderId="41" xfId="0" applyFont="1" applyBorder="1"/>
    <xf numFmtId="15" fontId="6" fillId="19" borderId="0" xfId="0" applyNumberFormat="1" applyFont="1" applyFill="1" applyAlignment="1">
      <alignment horizontal="left"/>
    </xf>
    <xf numFmtId="0" fontId="6" fillId="19" borderId="0" xfId="0" applyFont="1" applyFill="1" applyAlignment="1">
      <alignment horizontal="left"/>
    </xf>
    <xf numFmtId="0" fontId="7" fillId="19" borderId="34" xfId="0" applyFont="1" applyFill="1" applyBorder="1" applyAlignment="1">
      <alignment horizontal="center" vertical="center" wrapText="1"/>
    </xf>
    <xf numFmtId="0" fontId="7" fillId="19" borderId="45" xfId="0" applyFont="1" applyFill="1" applyBorder="1" applyAlignment="1">
      <alignment horizontal="center" vertical="center" wrapText="1"/>
    </xf>
    <xf numFmtId="0" fontId="7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52" xfId="0" applyBorder="1" applyAlignment="1">
      <alignment horizontal="left" vertical="center"/>
    </xf>
    <xf numFmtId="9" fontId="0" fillId="0" borderId="54" xfId="2" applyFont="1" applyFill="1" applyBorder="1" applyAlignment="1">
      <alignment horizontal="center" vertical="center"/>
    </xf>
    <xf numFmtId="9" fontId="0" fillId="0" borderId="54" xfId="0" applyNumberFormat="1" applyBorder="1" applyAlignment="1">
      <alignment horizontal="center" vertical="center"/>
    </xf>
    <xf numFmtId="9" fontId="0" fillId="0" borderId="56" xfId="0" applyNumberFormat="1" applyBorder="1" applyAlignment="1">
      <alignment horizontal="center" vertical="center"/>
    </xf>
    <xf numFmtId="0" fontId="9" fillId="0" borderId="87" xfId="0" applyFont="1" applyBorder="1"/>
    <xf numFmtId="0" fontId="7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7" fillId="19" borderId="1" xfId="0" applyFont="1" applyFill="1" applyBorder="1" applyAlignment="1">
      <alignment horizontal="center" vertical="center" wrapText="1"/>
    </xf>
    <xf numFmtId="0" fontId="7" fillId="19" borderId="13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94" fillId="0" borderId="0" xfId="0" applyFont="1"/>
    <xf numFmtId="9" fontId="0" fillId="3" borderId="3" xfId="2" applyFont="1" applyFill="1" applyBorder="1"/>
    <xf numFmtId="0" fontId="0" fillId="46" borderId="6" xfId="0" quotePrefix="1" applyFill="1" applyBorder="1"/>
    <xf numFmtId="0" fontId="12" fillId="15" borderId="4" xfId="0" quotePrefix="1" applyFont="1" applyFill="1" applyBorder="1" applyAlignment="1">
      <alignment horizontal="center"/>
    </xf>
    <xf numFmtId="0" fontId="12" fillId="0" borderId="14" xfId="0" quotePrefix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19" borderId="35" xfId="0" applyFont="1" applyFill="1" applyBorder="1" applyAlignment="1">
      <alignment horizontal="center" vertical="center"/>
    </xf>
    <xf numFmtId="0" fontId="7" fillId="19" borderId="28" xfId="0" applyFont="1" applyFill="1" applyBorder="1" applyAlignment="1">
      <alignment horizontal="center" vertical="center"/>
    </xf>
    <xf numFmtId="0" fontId="7" fillId="19" borderId="48" xfId="0" applyFont="1" applyFill="1" applyBorder="1" applyAlignment="1">
      <alignment horizontal="center" vertical="center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9" xfId="0" applyNumberFormat="1" applyBorder="1" applyAlignment="1">
      <alignment horizont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9" xfId="0" applyNumberFormat="1" applyBorder="1" applyAlignment="1">
      <alignment horizontal="left"/>
    </xf>
    <xf numFmtId="9" fontId="0" fillId="0" borderId="89" xfId="0" applyNumberFormat="1" applyBorder="1" applyAlignment="1">
      <alignment horizontal="center"/>
    </xf>
    <xf numFmtId="9" fontId="0" fillId="0" borderId="198" xfId="0" applyNumberFormat="1" applyBorder="1" applyAlignment="1">
      <alignment horizontal="center"/>
    </xf>
    <xf numFmtId="9" fontId="0" fillId="0" borderId="20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52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7" fillId="0" borderId="197" xfId="0" applyFont="1" applyBorder="1" applyAlignment="1">
      <alignment horizontal="center" vertical="center" textRotation="255"/>
    </xf>
    <xf numFmtId="0" fontId="7" fillId="0" borderId="59" xfId="0" applyFont="1" applyBorder="1" applyAlignment="1">
      <alignment horizontal="center" vertical="center" textRotation="255"/>
    </xf>
    <xf numFmtId="0" fontId="7" fillId="0" borderId="42" xfId="0" applyFont="1" applyBorder="1" applyAlignment="1">
      <alignment horizontal="center" vertical="center" textRotation="255"/>
    </xf>
    <xf numFmtId="0" fontId="7" fillId="0" borderId="197" xfId="0" applyFont="1" applyBorder="1" applyAlignment="1">
      <alignment horizontal="center" vertical="center" textRotation="90"/>
    </xf>
    <xf numFmtId="0" fontId="7" fillId="0" borderId="59" xfId="0" applyFont="1" applyBorder="1" applyAlignment="1">
      <alignment horizontal="center" vertical="center" textRotation="90"/>
    </xf>
    <xf numFmtId="0" fontId="7" fillId="0" borderId="42" xfId="0" applyFont="1" applyBorder="1" applyAlignment="1">
      <alignment horizontal="center" vertical="center" textRotation="90"/>
    </xf>
    <xf numFmtId="0" fontId="40" fillId="19" borderId="3" xfId="0" applyFont="1" applyFill="1" applyBorder="1" applyAlignment="1">
      <alignment horizontal="center"/>
    </xf>
    <xf numFmtId="0" fontId="7" fillId="47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7" borderId="13" xfId="0" applyFont="1" applyFill="1" applyBorder="1" applyAlignment="1">
      <alignment horizontal="center"/>
    </xf>
    <xf numFmtId="0" fontId="7" fillId="47" borderId="2" xfId="0" applyFont="1" applyFill="1" applyBorder="1" applyAlignment="1">
      <alignment horizontal="center"/>
    </xf>
    <xf numFmtId="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3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13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7" fillId="47" borderId="146" xfId="0" applyFont="1" applyFill="1" applyBorder="1" applyAlignment="1">
      <alignment horizontal="center"/>
    </xf>
    <xf numFmtId="0" fontId="7" fillId="47" borderId="15" xfId="0" applyFont="1" applyFill="1" applyBorder="1" applyAlignment="1">
      <alignment horizontal="center"/>
    </xf>
    <xf numFmtId="0" fontId="7" fillId="47" borderId="21" xfId="0" applyFont="1" applyFill="1" applyBorder="1" applyAlignment="1">
      <alignment horizontal="center"/>
    </xf>
    <xf numFmtId="0" fontId="16" fillId="0" borderId="193" xfId="0" applyFont="1" applyBorder="1" applyAlignment="1">
      <alignment horizontal="center"/>
    </xf>
    <xf numFmtId="0" fontId="16" fillId="0" borderId="193" xfId="0" applyFont="1" applyBorder="1" applyAlignment="1">
      <alignment horizontal="left"/>
    </xf>
    <xf numFmtId="49" fontId="40" fillId="19" borderId="23" xfId="0" applyNumberFormat="1" applyFont="1" applyFill="1" applyBorder="1" applyAlignment="1">
      <alignment horizontal="center"/>
    </xf>
    <xf numFmtId="0" fontId="40" fillId="19" borderId="87" xfId="0" applyFont="1" applyFill="1" applyBorder="1" applyAlignment="1">
      <alignment horizontal="center"/>
    </xf>
    <xf numFmtId="0" fontId="40" fillId="19" borderId="24" xfId="0" applyFont="1" applyFill="1" applyBorder="1" applyAlignment="1">
      <alignment horizontal="center"/>
    </xf>
    <xf numFmtId="49" fontId="40" fillId="47" borderId="1" xfId="0" applyNumberFormat="1" applyFont="1" applyFill="1" applyBorder="1" applyAlignment="1">
      <alignment horizontal="center"/>
    </xf>
    <xf numFmtId="0" fontId="40" fillId="47" borderId="13" xfId="0" applyFont="1" applyFill="1" applyBorder="1" applyAlignment="1">
      <alignment horizontal="center"/>
    </xf>
    <xf numFmtId="0" fontId="40" fillId="47" borderId="2" xfId="0" applyFont="1" applyFill="1" applyBorder="1" applyAlignment="1">
      <alignment horizontal="center"/>
    </xf>
    <xf numFmtId="0" fontId="7" fillId="4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6" fillId="0" borderId="1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74" fontId="7" fillId="0" borderId="1" xfId="0" applyNumberFormat="1" applyFont="1" applyBorder="1" applyAlignment="1">
      <alignment horizontal="center" vertical="center"/>
    </xf>
    <xf numFmtId="174" fontId="7" fillId="0" borderId="13" xfId="0" applyNumberFormat="1" applyFont="1" applyBorder="1" applyAlignment="1">
      <alignment horizontal="center" vertical="center"/>
    </xf>
    <xf numFmtId="174" fontId="7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19" borderId="3" xfId="0" applyFont="1" applyFill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7" fillId="47" borderId="3" xfId="0" applyFont="1" applyFill="1" applyBorder="1" applyAlignment="1">
      <alignment horizontal="center" wrapText="1"/>
    </xf>
    <xf numFmtId="9" fontId="16" fillId="3" borderId="3" xfId="0" applyNumberFormat="1" applyFont="1" applyFill="1" applyBorder="1" applyAlignment="1">
      <alignment horizontal="center"/>
    </xf>
    <xf numFmtId="9" fontId="16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7" fillId="19" borderId="4" xfId="0" applyFont="1" applyFill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47" borderId="14" xfId="0" applyFont="1" applyFill="1" applyBorder="1" applyAlignment="1">
      <alignment horizontal="center"/>
    </xf>
    <xf numFmtId="0" fontId="7" fillId="47" borderId="4" xfId="0" applyFont="1" applyFill="1" applyBorder="1" applyAlignment="1">
      <alignment horizontal="center"/>
    </xf>
    <xf numFmtId="0" fontId="7" fillId="47" borderId="23" xfId="0" applyFont="1" applyFill="1" applyBorder="1" applyAlignment="1">
      <alignment horizontal="center"/>
    </xf>
    <xf numFmtId="0" fontId="7" fillId="47" borderId="87" xfId="0" applyFont="1" applyFill="1" applyBorder="1" applyAlignment="1">
      <alignment horizontal="center"/>
    </xf>
    <xf numFmtId="0" fontId="7" fillId="47" borderId="24" xfId="0" applyFont="1" applyFill="1" applyBorder="1" applyAlignment="1">
      <alignment horizontal="center"/>
    </xf>
    <xf numFmtId="0" fontId="40" fillId="13" borderId="61" xfId="0" applyFont="1" applyFill="1" applyBorder="1" applyAlignment="1">
      <alignment horizontal="center"/>
    </xf>
    <xf numFmtId="0" fontId="40" fillId="13" borderId="62" xfId="0" applyFont="1" applyFill="1" applyBorder="1" applyAlignment="1">
      <alignment horizontal="center"/>
    </xf>
    <xf numFmtId="0" fontId="40" fillId="13" borderId="64" xfId="0" applyFont="1" applyFill="1" applyBorder="1" applyAlignment="1">
      <alignment horizontal="center"/>
    </xf>
    <xf numFmtId="0" fontId="17" fillId="19" borderId="27" xfId="0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162" xfId="0" applyFont="1" applyFill="1" applyBorder="1" applyAlignment="1">
      <alignment horizontal="center" vertical="center"/>
    </xf>
    <xf numFmtId="0" fontId="55" fillId="32" borderId="65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96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171" fontId="58" fillId="33" borderId="0" xfId="0" applyNumberFormat="1" applyFont="1" applyFill="1" applyAlignment="1">
      <alignment horizontal="center"/>
    </xf>
    <xf numFmtId="0" fontId="59" fillId="33" borderId="41" xfId="0" applyFont="1" applyFill="1" applyBorder="1" applyAlignment="1">
      <alignment horizontal="center"/>
    </xf>
    <xf numFmtId="0" fontId="60" fillId="34" borderId="67" xfId="0" applyFont="1" applyFill="1" applyBorder="1" applyAlignment="1">
      <alignment horizontal="center" vertical="center"/>
    </xf>
    <xf numFmtId="0" fontId="60" fillId="34" borderId="68" xfId="0" applyFont="1" applyFill="1" applyBorder="1" applyAlignment="1">
      <alignment horizontal="center" vertical="center"/>
    </xf>
    <xf numFmtId="0" fontId="60" fillId="34" borderId="97" xfId="0" applyFont="1" applyFill="1" applyBorder="1" applyAlignment="1">
      <alignment horizontal="center" vertical="center"/>
    </xf>
    <xf numFmtId="0" fontId="61" fillId="33" borderId="61" xfId="0" applyFont="1" applyFill="1" applyBorder="1" applyAlignment="1">
      <alignment horizontal="center" vertical="center" wrapText="1"/>
    </xf>
    <xf numFmtId="0" fontId="61" fillId="33" borderId="62" xfId="0" applyFont="1" applyFill="1" applyBorder="1" applyAlignment="1">
      <alignment horizontal="center" vertical="center" wrapText="1"/>
    </xf>
    <xf numFmtId="0" fontId="61" fillId="33" borderId="69" xfId="0" applyFont="1" applyFill="1" applyBorder="1" applyAlignment="1">
      <alignment horizontal="center" vertical="center" wrapText="1"/>
    </xf>
    <xf numFmtId="0" fontId="61" fillId="33" borderId="70" xfId="0" applyFont="1" applyFill="1" applyBorder="1" applyAlignment="1">
      <alignment horizontal="center" vertical="center" wrapText="1"/>
    </xf>
    <xf numFmtId="0" fontId="61" fillId="33" borderId="71" xfId="0" applyFont="1" applyFill="1" applyBorder="1" applyAlignment="1">
      <alignment horizontal="center" vertical="center" wrapText="1"/>
    </xf>
    <xf numFmtId="0" fontId="70" fillId="33" borderId="70" xfId="0" applyFont="1" applyFill="1" applyBorder="1" applyAlignment="1">
      <alignment horizontal="center" vertical="center"/>
    </xf>
    <xf numFmtId="0" fontId="70" fillId="33" borderId="91" xfId="0" applyFont="1" applyFill="1" applyBorder="1" applyAlignment="1">
      <alignment horizontal="center" vertical="center"/>
    </xf>
    <xf numFmtId="0" fontId="70" fillId="33" borderId="98" xfId="0" applyFont="1" applyFill="1" applyBorder="1" applyAlignment="1">
      <alignment horizontal="center" vertical="center"/>
    </xf>
    <xf numFmtId="0" fontId="62" fillId="35" borderId="72" xfId="6" applyAlignment="1">
      <alignment horizontal="left"/>
    </xf>
    <xf numFmtId="0" fontId="62" fillId="35" borderId="72" xfId="6" applyAlignment="1">
      <alignment horizontal="center"/>
    </xf>
    <xf numFmtId="0" fontId="63" fillId="36" borderId="73" xfId="4" applyBorder="1" applyAlignment="1">
      <alignment horizontal="center"/>
    </xf>
    <xf numFmtId="0" fontId="63" fillId="36" borderId="74" xfId="4" applyBorder="1" applyAlignment="1">
      <alignment horizontal="center"/>
    </xf>
    <xf numFmtId="9" fontId="71" fillId="38" borderId="78" xfId="5" applyNumberFormat="1" applyAlignment="1">
      <alignment horizontal="center"/>
    </xf>
    <xf numFmtId="9" fontId="24" fillId="39" borderId="92" xfId="3" applyNumberFormat="1" applyFont="1" applyAlignment="1">
      <alignment horizontal="left" vertical="center"/>
    </xf>
    <xf numFmtId="0" fontId="63" fillId="36" borderId="75" xfId="4" applyBorder="1" applyAlignment="1">
      <alignment horizontal="center"/>
    </xf>
    <xf numFmtId="0" fontId="63" fillId="36" borderId="76" xfId="4" applyBorder="1" applyAlignment="1">
      <alignment horizontal="center"/>
    </xf>
    <xf numFmtId="9" fontId="21" fillId="39" borderId="92" xfId="3" applyNumberFormat="1" applyFont="1" applyAlignment="1">
      <alignment horizontal="left" vertical="center"/>
    </xf>
    <xf numFmtId="0" fontId="62" fillId="35" borderId="72" xfId="6" applyAlignment="1" applyProtection="1">
      <alignment horizontal="left"/>
      <protection locked="0"/>
    </xf>
    <xf numFmtId="9" fontId="21" fillId="39" borderId="93" xfId="3" applyNumberFormat="1" applyFont="1" applyBorder="1" applyAlignment="1">
      <alignment horizontal="left" vertical="center"/>
    </xf>
    <xf numFmtId="9" fontId="21" fillId="39" borderId="94" xfId="3" applyNumberFormat="1" applyFont="1" applyBorder="1" applyAlignment="1">
      <alignment horizontal="left" vertical="center"/>
    </xf>
    <xf numFmtId="9" fontId="21" fillId="39" borderId="99" xfId="3" applyNumberFormat="1" applyFont="1" applyBorder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99" fillId="7" borderId="3" xfId="7" applyBorder="1" applyAlignment="1">
      <alignment horizontal="center"/>
    </xf>
    <xf numFmtId="0" fontId="99" fillId="40" borderId="3" xfId="9" applyBorder="1" applyAlignment="1">
      <alignment horizontal="center"/>
    </xf>
    <xf numFmtId="0" fontId="99" fillId="37" borderId="4" xfId="8" applyBorder="1" applyAlignment="1">
      <alignment horizontal="center" vertical="center" wrapText="1"/>
    </xf>
    <xf numFmtId="0" fontId="99" fillId="37" borderId="3" xfId="8" applyBorder="1" applyAlignment="1">
      <alignment horizontal="center" vertical="center" wrapText="1"/>
    </xf>
    <xf numFmtId="9" fontId="72" fillId="38" borderId="78" xfId="5" applyNumberFormat="1" applyFont="1" applyAlignment="1">
      <alignment horizontal="center" vertical="center" wrapText="1"/>
    </xf>
    <xf numFmtId="9" fontId="72" fillId="38" borderId="83" xfId="5" applyNumberFormat="1" applyFont="1" applyBorder="1" applyAlignment="1">
      <alignment horizontal="center" vertical="center" wrapText="1"/>
    </xf>
    <xf numFmtId="172" fontId="65" fillId="36" borderId="79" xfId="4" applyNumberFormat="1" applyFont="1" applyBorder="1" applyAlignment="1">
      <alignment horizontal="center"/>
    </xf>
    <xf numFmtId="172" fontId="65" fillId="36" borderId="80" xfId="4" applyNumberFormat="1" applyFont="1" applyBorder="1" applyAlignment="1">
      <alignment horizontal="center"/>
    </xf>
    <xf numFmtId="9" fontId="62" fillId="35" borderId="81" xfId="6" applyNumberFormat="1" applyBorder="1" applyAlignment="1">
      <alignment horizontal="center"/>
    </xf>
    <xf numFmtId="9" fontId="62" fillId="35" borderId="82" xfId="6" applyNumberFormat="1" applyBorder="1" applyAlignment="1">
      <alignment horizontal="center"/>
    </xf>
    <xf numFmtId="0" fontId="63" fillId="36" borderId="79" xfId="4" applyBorder="1" applyAlignment="1">
      <alignment horizontal="center"/>
    </xf>
    <xf numFmtId="0" fontId="63" fillId="36" borderId="80" xfId="4" applyBorder="1" applyAlignment="1">
      <alignment horizontal="center"/>
    </xf>
    <xf numFmtId="172" fontId="65" fillId="36" borderId="83" xfId="4" applyNumberFormat="1" applyFont="1" applyBorder="1" applyAlignment="1">
      <alignment horizontal="center"/>
    </xf>
    <xf numFmtId="172" fontId="65" fillId="36" borderId="84" xfId="4" applyNumberFormat="1" applyFont="1" applyBorder="1" applyAlignment="1">
      <alignment horizontal="center"/>
    </xf>
    <xf numFmtId="0" fontId="63" fillId="36" borderId="83" xfId="4" applyBorder="1" applyAlignment="1">
      <alignment horizontal="center"/>
    </xf>
    <xf numFmtId="0" fontId="63" fillId="36" borderId="84" xfId="4" applyBorder="1" applyAlignment="1">
      <alignment horizontal="center"/>
    </xf>
    <xf numFmtId="172" fontId="65" fillId="36" borderId="78" xfId="4" applyNumberFormat="1" applyFont="1" applyAlignment="1">
      <alignment horizontal="center"/>
    </xf>
    <xf numFmtId="172" fontId="65" fillId="36" borderId="85" xfId="4" applyNumberFormat="1" applyFont="1" applyBorder="1" applyAlignment="1">
      <alignment horizontal="center"/>
    </xf>
    <xf numFmtId="9" fontId="62" fillId="35" borderId="72" xfId="6" applyNumberFormat="1" applyAlignment="1">
      <alignment horizontal="center"/>
    </xf>
    <xf numFmtId="0" fontId="63" fillId="36" borderId="78" xfId="4" applyAlignment="1">
      <alignment horizontal="center"/>
    </xf>
    <xf numFmtId="0" fontId="68" fillId="33" borderId="35" xfId="0" applyFont="1" applyFill="1" applyBorder="1" applyAlignment="1">
      <alignment horizontal="center" vertical="center"/>
    </xf>
    <xf numFmtId="0" fontId="68" fillId="33" borderId="28" xfId="0" applyFont="1" applyFill="1" applyBorder="1" applyAlignment="1">
      <alignment horizontal="center" vertical="center"/>
    </xf>
    <xf numFmtId="0" fontId="68" fillId="33" borderId="48" xfId="0" applyFont="1" applyFill="1" applyBorder="1" applyAlignment="1">
      <alignment horizontal="center" vertical="center"/>
    </xf>
    <xf numFmtId="0" fontId="68" fillId="33" borderId="1" xfId="0" applyFont="1" applyFill="1" applyBorder="1" applyAlignment="1">
      <alignment horizontal="center" vertical="center"/>
    </xf>
    <xf numFmtId="0" fontId="68" fillId="33" borderId="2" xfId="0" applyFont="1" applyFill="1" applyBorder="1" applyAlignment="1">
      <alignment horizontal="center" vertical="center"/>
    </xf>
    <xf numFmtId="0" fontId="69" fillId="0" borderId="38" xfId="0" applyFont="1" applyBorder="1" applyAlignment="1">
      <alignment horizontal="left" vertical="center"/>
    </xf>
    <xf numFmtId="0" fontId="69" fillId="0" borderId="2" xfId="0" applyFont="1" applyBorder="1" applyAlignment="1">
      <alignment horizontal="left" vertical="center"/>
    </xf>
    <xf numFmtId="0" fontId="61" fillId="34" borderId="1" xfId="0" applyFont="1" applyFill="1" applyBorder="1" applyAlignment="1">
      <alignment horizontal="center" vertical="center"/>
    </xf>
    <xf numFmtId="0" fontId="61" fillId="34" borderId="2" xfId="0" applyFont="1" applyFill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0" fontId="69" fillId="0" borderId="53" xfId="0" applyFont="1" applyBorder="1" applyAlignment="1">
      <alignment horizontal="left" vertical="center"/>
    </xf>
    <xf numFmtId="0" fontId="61" fillId="34" borderId="55" xfId="0" applyFont="1" applyFill="1" applyBorder="1" applyAlignment="1">
      <alignment horizontal="center" vertical="center"/>
    </xf>
    <xf numFmtId="0" fontId="61" fillId="34" borderId="53" xfId="0" applyFont="1" applyFill="1" applyBorder="1" applyAlignment="1">
      <alignment horizontal="center" vertical="center"/>
    </xf>
    <xf numFmtId="0" fontId="68" fillId="33" borderId="29" xfId="0" applyFont="1" applyFill="1" applyBorder="1" applyAlignment="1">
      <alignment horizontal="center" vertical="center"/>
    </xf>
    <xf numFmtId="0" fontId="73" fillId="36" borderId="100" xfId="4" applyFont="1" applyBorder="1" applyAlignment="1">
      <alignment horizontal="center" vertical="center"/>
    </xf>
    <xf numFmtId="0" fontId="73" fillId="36" borderId="101" xfId="4" applyFont="1" applyBorder="1" applyAlignment="1">
      <alignment horizontal="center" vertical="center"/>
    </xf>
    <xf numFmtId="0" fontId="73" fillId="36" borderId="124" xfId="4" applyFont="1" applyBorder="1" applyAlignment="1">
      <alignment horizontal="center" vertical="center"/>
    </xf>
    <xf numFmtId="0" fontId="68" fillId="39" borderId="125" xfId="3" applyFont="1" applyBorder="1" applyAlignment="1">
      <alignment horizontal="center" vertical="center"/>
    </xf>
    <xf numFmtId="0" fontId="68" fillId="39" borderId="126" xfId="3" applyFont="1" applyBorder="1" applyAlignment="1">
      <alignment horizontal="center" vertical="center"/>
    </xf>
    <xf numFmtId="0" fontId="68" fillId="39" borderId="137" xfId="3" applyFont="1" applyBorder="1" applyAlignment="1">
      <alignment horizontal="center" vertical="center"/>
    </xf>
    <xf numFmtId="0" fontId="61" fillId="34" borderId="38" xfId="0" applyFont="1" applyFill="1" applyBorder="1" applyAlignment="1">
      <alignment horizontal="left"/>
    </xf>
    <xf numFmtId="0" fontId="61" fillId="34" borderId="13" xfId="0" applyFont="1" applyFill="1" applyBorder="1" applyAlignment="1">
      <alignment horizontal="left"/>
    </xf>
    <xf numFmtId="49" fontId="63" fillId="36" borderId="77" xfId="4" applyNumberFormat="1" applyBorder="1" applyAlignment="1">
      <alignment horizontal="center" vertical="center"/>
    </xf>
    <xf numFmtId="49" fontId="63" fillId="36" borderId="102" xfId="4" applyNumberFormat="1" applyBorder="1" applyAlignment="1">
      <alignment horizontal="center" vertical="center"/>
    </xf>
    <xf numFmtId="0" fontId="61" fillId="34" borderId="86" xfId="0" applyFont="1" applyFill="1" applyBorder="1" applyAlignment="1">
      <alignment horizontal="left"/>
    </xf>
    <xf numFmtId="0" fontId="61" fillId="34" borderId="87" xfId="0" applyFont="1" applyFill="1" applyBorder="1" applyAlignment="1">
      <alignment horizontal="left"/>
    </xf>
    <xf numFmtId="0" fontId="61" fillId="34" borderId="24" xfId="0" applyFont="1" applyFill="1" applyBorder="1" applyAlignment="1">
      <alignment horizontal="left"/>
    </xf>
    <xf numFmtId="49" fontId="63" fillId="36" borderId="127" xfId="4" applyNumberFormat="1" applyBorder="1" applyAlignment="1">
      <alignment horizontal="center" vertical="center"/>
    </xf>
    <xf numFmtId="49" fontId="24" fillId="39" borderId="128" xfId="3" applyNumberFormat="1" applyFont="1" applyBorder="1" applyAlignment="1">
      <alignment horizontal="center"/>
    </xf>
    <xf numFmtId="49" fontId="24" fillId="39" borderId="138" xfId="3" applyNumberFormat="1" applyFont="1" applyBorder="1" applyAlignment="1">
      <alignment horizontal="center"/>
    </xf>
    <xf numFmtId="0" fontId="61" fillId="34" borderId="2" xfId="0" applyFont="1" applyFill="1" applyBorder="1" applyAlignment="1">
      <alignment horizontal="left"/>
    </xf>
    <xf numFmtId="49" fontId="63" fillId="36" borderId="76" xfId="4" applyNumberFormat="1" applyBorder="1" applyAlignment="1">
      <alignment horizontal="center" vertical="center"/>
    </xf>
    <xf numFmtId="49" fontId="63" fillId="36" borderId="78" xfId="4" applyNumberFormat="1" applyAlignment="1">
      <alignment horizontal="center" vertical="center"/>
    </xf>
    <xf numFmtId="49" fontId="63" fillId="36" borderId="83" xfId="4" applyNumberFormat="1" applyBorder="1" applyAlignment="1">
      <alignment horizontal="center" vertical="center"/>
    </xf>
    <xf numFmtId="0" fontId="63" fillId="36" borderId="103" xfId="4" applyBorder="1" applyAlignment="1">
      <alignment horizontal="center"/>
    </xf>
    <xf numFmtId="49" fontId="63" fillId="36" borderId="105" xfId="4" applyNumberFormat="1" applyBorder="1" applyAlignment="1">
      <alignment horizontal="center" vertical="center"/>
    </xf>
    <xf numFmtId="49" fontId="24" fillId="39" borderId="92" xfId="3" applyNumberFormat="1" applyFont="1" applyAlignment="1">
      <alignment horizontal="center"/>
    </xf>
    <xf numFmtId="49" fontId="20" fillId="39" borderId="92" xfId="3" applyNumberFormat="1" applyFont="1" applyAlignment="1">
      <alignment horizontal="center"/>
    </xf>
    <xf numFmtId="49" fontId="20" fillId="39" borderId="139" xfId="3" applyNumberFormat="1" applyFont="1" applyBorder="1" applyAlignment="1">
      <alignment horizontal="center"/>
    </xf>
    <xf numFmtId="0" fontId="68" fillId="33" borderId="104" xfId="0" applyFont="1" applyFill="1" applyBorder="1" applyAlignment="1">
      <alignment horizontal="center"/>
    </xf>
    <xf numFmtId="0" fontId="68" fillId="33" borderId="15" xfId="0" applyFont="1" applyFill="1" applyBorder="1" applyAlignment="1">
      <alignment horizontal="center"/>
    </xf>
    <xf numFmtId="0" fontId="68" fillId="33" borderId="21" xfId="0" applyFont="1" applyFill="1" applyBorder="1" applyAlignment="1">
      <alignment horizontal="center"/>
    </xf>
    <xf numFmtId="0" fontId="63" fillId="36" borderId="105" xfId="4" applyBorder="1" applyAlignment="1">
      <alignment horizontal="center"/>
    </xf>
    <xf numFmtId="49" fontId="24" fillId="39" borderId="139" xfId="3" applyNumberFormat="1" applyFont="1" applyBorder="1" applyAlignment="1">
      <alignment horizontal="center"/>
    </xf>
    <xf numFmtId="0" fontId="63" fillId="36" borderId="83" xfId="4" applyBorder="1" applyAlignment="1">
      <alignment horizontal="center" vertical="center"/>
    </xf>
    <xf numFmtId="0" fontId="63" fillId="36" borderId="106" xfId="4" applyBorder="1" applyAlignment="1">
      <alignment horizontal="center" vertical="center"/>
    </xf>
    <xf numFmtId="0" fontId="63" fillId="36" borderId="76" xfId="4" applyBorder="1" applyAlignment="1">
      <alignment horizontal="center" vertical="center"/>
    </xf>
    <xf numFmtId="0" fontId="63" fillId="36" borderId="77" xfId="4" applyBorder="1" applyAlignment="1">
      <alignment horizontal="center" vertical="center"/>
    </xf>
    <xf numFmtId="0" fontId="63" fillId="36" borderId="78" xfId="4" applyAlignment="1">
      <alignment horizontal="center" vertical="center"/>
    </xf>
    <xf numFmtId="49" fontId="63" fillId="36" borderId="107" xfId="4" applyNumberFormat="1" applyBorder="1" applyAlignment="1">
      <alignment horizontal="center" vertical="center"/>
    </xf>
    <xf numFmtId="0" fontId="63" fillId="36" borderId="107" xfId="4" applyBorder="1" applyAlignment="1">
      <alignment horizontal="center" vertical="center"/>
    </xf>
    <xf numFmtId="49" fontId="20" fillId="39" borderId="129" xfId="3" applyNumberFormat="1" applyFont="1" applyBorder="1" applyAlignment="1">
      <alignment horizontal="center"/>
    </xf>
    <xf numFmtId="49" fontId="20" fillId="39" borderId="140" xfId="3" applyNumberFormat="1" applyFont="1" applyBorder="1" applyAlignment="1">
      <alignment horizontal="center"/>
    </xf>
    <xf numFmtId="0" fontId="60" fillId="34" borderId="61" xfId="0" applyFont="1" applyFill="1" applyBorder="1" applyAlignment="1">
      <alignment horizontal="center" vertical="center"/>
    </xf>
    <xf numFmtId="0" fontId="60" fillId="34" borderId="62" xfId="0" applyFont="1" applyFill="1" applyBorder="1" applyAlignment="1">
      <alignment horizontal="center" vertical="center"/>
    </xf>
    <xf numFmtId="0" fontId="60" fillId="34" borderId="64" xfId="0" applyFont="1" applyFill="1" applyBorder="1" applyAlignment="1">
      <alignment horizontal="center" vertical="center"/>
    </xf>
    <xf numFmtId="0" fontId="74" fillId="33" borderId="108" xfId="0" applyFont="1" applyFill="1" applyBorder="1" applyAlignment="1">
      <alignment horizontal="center" vertical="center"/>
    </xf>
    <xf numFmtId="0" fontId="74" fillId="33" borderId="109" xfId="0" applyFont="1" applyFill="1" applyBorder="1" applyAlignment="1">
      <alignment horizontal="center" vertical="center"/>
    </xf>
    <xf numFmtId="0" fontId="68" fillId="33" borderId="108" xfId="0" applyFont="1" applyFill="1" applyBorder="1" applyAlignment="1">
      <alignment horizontal="center" vertical="center" wrapText="1"/>
    </xf>
    <xf numFmtId="0" fontId="68" fillId="33" borderId="110" xfId="0" applyFont="1" applyFill="1" applyBorder="1" applyAlignment="1">
      <alignment horizontal="center" vertical="center" wrapText="1"/>
    </xf>
    <xf numFmtId="0" fontId="68" fillId="33" borderId="109" xfId="0" applyFont="1" applyFill="1" applyBorder="1" applyAlignment="1">
      <alignment horizontal="center" vertical="center" wrapText="1"/>
    </xf>
    <xf numFmtId="0" fontId="74" fillId="33" borderId="110" xfId="0" applyFont="1" applyFill="1" applyBorder="1" applyAlignment="1">
      <alignment horizontal="center" vertical="center"/>
    </xf>
    <xf numFmtId="0" fontId="20" fillId="33" borderId="108" xfId="0" applyFont="1" applyFill="1" applyBorder="1" applyAlignment="1">
      <alignment horizontal="center"/>
    </xf>
    <xf numFmtId="0" fontId="20" fillId="33" borderId="130" xfId="0" applyFont="1" applyFill="1" applyBorder="1" applyAlignment="1">
      <alignment horizontal="center"/>
    </xf>
    <xf numFmtId="0" fontId="68" fillId="33" borderId="131" xfId="0" applyFont="1" applyFill="1" applyBorder="1" applyAlignment="1">
      <alignment horizontal="center" vertical="center" wrapText="1"/>
    </xf>
    <xf numFmtId="0" fontId="68" fillId="33" borderId="130" xfId="0" applyFont="1" applyFill="1" applyBorder="1" applyAlignment="1">
      <alignment horizontal="center" vertical="center" wrapText="1"/>
    </xf>
    <xf numFmtId="0" fontId="20" fillId="33" borderId="131" xfId="0" applyFont="1" applyFill="1" applyBorder="1" applyAlignment="1">
      <alignment horizontal="center"/>
    </xf>
    <xf numFmtId="0" fontId="20" fillId="33" borderId="110" xfId="0" applyFont="1" applyFill="1" applyBorder="1" applyAlignment="1">
      <alignment horizontal="center"/>
    </xf>
    <xf numFmtId="0" fontId="20" fillId="33" borderId="109" xfId="0" applyFont="1" applyFill="1" applyBorder="1" applyAlignment="1">
      <alignment horizontal="center"/>
    </xf>
    <xf numFmtId="0" fontId="61" fillId="33" borderId="132" xfId="0" applyFont="1" applyFill="1" applyBorder="1" applyAlignment="1">
      <alignment horizontal="center" vertical="center" wrapText="1"/>
    </xf>
    <xf numFmtId="0" fontId="61" fillId="33" borderId="48" xfId="0" applyFont="1" applyFill="1" applyBorder="1" applyAlignment="1">
      <alignment horizontal="center" vertical="center" wrapText="1"/>
    </xf>
    <xf numFmtId="0" fontId="61" fillId="43" borderId="35" xfId="0" applyFont="1" applyFill="1" applyBorder="1" applyAlignment="1">
      <alignment horizontal="center" vertical="center" wrapText="1"/>
    </xf>
    <xf numFmtId="0" fontId="61" fillId="43" borderId="48" xfId="0" applyFont="1" applyFill="1" applyBorder="1" applyAlignment="1">
      <alignment horizontal="center" vertical="center" wrapText="1"/>
    </xf>
    <xf numFmtId="0" fontId="61" fillId="43" borderId="29" xfId="0" applyFont="1" applyFill="1" applyBorder="1" applyAlignment="1">
      <alignment horizontal="center" vertical="center" wrapText="1"/>
    </xf>
    <xf numFmtId="0" fontId="61" fillId="43" borderId="46" xfId="0" applyFont="1" applyFill="1" applyBorder="1" applyAlignment="1">
      <alignment horizontal="center" vertical="center" wrapText="1"/>
    </xf>
    <xf numFmtId="0" fontId="61" fillId="43" borderId="86" xfId="0" applyFont="1" applyFill="1" applyBorder="1" applyAlignment="1">
      <alignment horizontal="center" vertical="center" wrapText="1"/>
    </xf>
    <xf numFmtId="0" fontId="61" fillId="43" borderId="87" xfId="0" applyFont="1" applyFill="1" applyBorder="1" applyAlignment="1">
      <alignment horizontal="center" vertical="center" wrapText="1"/>
    </xf>
    <xf numFmtId="0" fontId="61" fillId="33" borderId="35" xfId="0" applyFont="1" applyFill="1" applyBorder="1" applyAlignment="1">
      <alignment horizontal="center" vertical="center" wrapText="1"/>
    </xf>
    <xf numFmtId="0" fontId="61" fillId="33" borderId="28" xfId="0" applyFont="1" applyFill="1" applyBorder="1" applyAlignment="1">
      <alignment horizontal="center" vertical="center" wrapText="1"/>
    </xf>
    <xf numFmtId="0" fontId="61" fillId="33" borderId="141" xfId="0" applyFont="1" applyFill="1" applyBorder="1" applyAlignment="1">
      <alignment horizontal="center" vertical="center" wrapText="1"/>
    </xf>
    <xf numFmtId="0" fontId="20" fillId="0" borderId="115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9" fontId="71" fillId="38" borderId="78" xfId="5" applyNumberFormat="1" applyAlignment="1">
      <alignment horizontal="center" vertical="center"/>
    </xf>
    <xf numFmtId="1" fontId="63" fillId="36" borderId="78" xfId="4" applyNumberFormat="1" applyAlignment="1">
      <alignment horizontal="center" vertical="center"/>
    </xf>
    <xf numFmtId="1" fontId="63" fillId="36" borderId="79" xfId="4" applyNumberFormat="1" applyBorder="1" applyAlignment="1">
      <alignment horizontal="center" vertical="center"/>
    </xf>
    <xf numFmtId="1" fontId="63" fillId="36" borderId="74" xfId="4" applyNumberFormat="1" applyBorder="1" applyAlignment="1">
      <alignment horizontal="center" vertical="center"/>
    </xf>
    <xf numFmtId="9" fontId="20" fillId="39" borderId="92" xfId="3" applyNumberFormat="1" applyFont="1" applyAlignment="1">
      <alignment horizontal="center"/>
    </xf>
    <xf numFmtId="1" fontId="63" fillId="36" borderId="83" xfId="4" applyNumberFormat="1" applyBorder="1" applyAlignment="1">
      <alignment horizontal="center" vertical="center"/>
    </xf>
    <xf numFmtId="1" fontId="63" fillId="36" borderId="76" xfId="4" applyNumberFormat="1" applyBorder="1" applyAlignment="1">
      <alignment horizontal="center" vertical="center"/>
    </xf>
    <xf numFmtId="9" fontId="20" fillId="39" borderId="93" xfId="3" applyNumberFormat="1" applyFont="1" applyBorder="1" applyAlignment="1">
      <alignment horizontal="center"/>
    </xf>
    <xf numFmtId="9" fontId="20" fillId="39" borderId="94" xfId="3" applyNumberFormat="1" applyFont="1" applyBorder="1" applyAlignment="1">
      <alignment horizontal="center"/>
    </xf>
    <xf numFmtId="9" fontId="20" fillId="39" borderId="99" xfId="3" applyNumberFormat="1" applyFont="1" applyBorder="1" applyAlignment="1">
      <alignment horizontal="center"/>
    </xf>
    <xf numFmtId="0" fontId="76" fillId="0" borderId="115" xfId="0" applyFont="1" applyBorder="1" applyAlignment="1">
      <alignment horizontal="left" vertical="center"/>
    </xf>
    <xf numFmtId="0" fontId="76" fillId="0" borderId="13" xfId="0" applyFont="1" applyBorder="1" applyAlignment="1">
      <alignment horizontal="left" vertical="center"/>
    </xf>
    <xf numFmtId="9" fontId="21" fillId="39" borderId="93" xfId="3" applyNumberFormat="1" applyFont="1" applyBorder="1" applyAlignment="1">
      <alignment horizontal="center"/>
    </xf>
    <xf numFmtId="9" fontId="21" fillId="39" borderId="94" xfId="3" applyNumberFormat="1" applyFont="1" applyBorder="1" applyAlignment="1">
      <alignment horizontal="center"/>
    </xf>
    <xf numFmtId="9" fontId="21" fillId="39" borderId="99" xfId="3" applyNumberFormat="1" applyFont="1" applyBorder="1" applyAlignment="1">
      <alignment horizontal="center"/>
    </xf>
    <xf numFmtId="0" fontId="20" fillId="0" borderId="116" xfId="0" applyFont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0" fontId="61" fillId="33" borderId="31" xfId="0" applyFont="1" applyFill="1" applyBorder="1" applyAlignment="1">
      <alignment horizontal="center" vertical="center" wrapText="1"/>
    </xf>
    <xf numFmtId="0" fontId="61" fillId="33" borderId="9" xfId="0" applyFont="1" applyFill="1" applyBorder="1" applyAlignment="1">
      <alignment horizontal="center" vertical="center" wrapText="1"/>
    </xf>
    <xf numFmtId="0" fontId="61" fillId="33" borderId="11" xfId="0" applyFont="1" applyFill="1" applyBorder="1" applyAlignment="1">
      <alignment horizontal="center" vertical="center" wrapText="1"/>
    </xf>
    <xf numFmtId="0" fontId="61" fillId="33" borderId="33" xfId="0" applyFont="1" applyFill="1" applyBorder="1" applyAlignment="1">
      <alignment horizontal="center" vertical="center" wrapText="1"/>
    </xf>
    <xf numFmtId="0" fontId="76" fillId="0" borderId="86" xfId="0" applyFont="1" applyBorder="1" applyAlignment="1">
      <alignment horizontal="left" vertical="center"/>
    </xf>
    <xf numFmtId="0" fontId="76" fillId="0" borderId="24" xfId="0" applyFont="1" applyBorder="1" applyAlignment="1">
      <alignment horizontal="left" vertical="center"/>
    </xf>
    <xf numFmtId="0" fontId="62" fillId="35" borderId="120" xfId="6" applyBorder="1" applyAlignment="1">
      <alignment horizontal="center"/>
    </xf>
    <xf numFmtId="0" fontId="62" fillId="35" borderId="121" xfId="6" applyBorder="1" applyAlignment="1">
      <alignment horizontal="center"/>
    </xf>
    <xf numFmtId="0" fontId="63" fillId="36" borderId="77" xfId="4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63" fillId="0" borderId="77" xfId="4" applyFill="1" applyBorder="1" applyAlignment="1" applyProtection="1">
      <alignment horizontal="center" vertical="center"/>
      <protection locked="0"/>
    </xf>
    <xf numFmtId="9" fontId="71" fillId="38" borderId="77" xfId="5" applyNumberFormat="1" applyBorder="1" applyAlignment="1">
      <alignment horizontal="center"/>
    </xf>
    <xf numFmtId="9" fontId="71" fillId="38" borderId="134" xfId="5" applyNumberFormat="1" applyBorder="1" applyAlignment="1">
      <alignment horizontal="center"/>
    </xf>
    <xf numFmtId="0" fontId="76" fillId="0" borderId="38" xfId="0" applyFont="1" applyBorder="1" applyAlignment="1">
      <alignment horizontal="left" vertical="center"/>
    </xf>
    <xf numFmtId="0" fontId="76" fillId="0" borderId="2" xfId="0" applyFont="1" applyBorder="1" applyAlignment="1">
      <alignment horizontal="left" vertical="center"/>
    </xf>
    <xf numFmtId="0" fontId="62" fillId="35" borderId="81" xfId="6" applyBorder="1" applyAlignment="1">
      <alignment horizontal="center"/>
    </xf>
    <xf numFmtId="0" fontId="62" fillId="35" borderId="82" xfId="6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9" fontId="71" fillId="38" borderId="105" xfId="5" applyNumberFormat="1" applyBorder="1" applyAlignment="1">
      <alignment horizontal="center"/>
    </xf>
    <xf numFmtId="9" fontId="71" fillId="38" borderId="103" xfId="5" applyNumberFormat="1" applyBorder="1" applyAlignment="1">
      <alignment horizontal="center"/>
    </xf>
    <xf numFmtId="0" fontId="62" fillId="35" borderId="81" xfId="6" applyBorder="1" applyAlignment="1">
      <alignment horizontal="center" vertical="center"/>
    </xf>
    <xf numFmtId="0" fontId="62" fillId="35" borderId="82" xfId="6" applyBorder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6" fillId="0" borderId="89" xfId="0" applyFont="1" applyBorder="1" applyAlignment="1">
      <alignment horizontal="left" vertical="center"/>
    </xf>
    <xf numFmtId="0" fontId="76" fillId="0" borderId="53" xfId="0" applyFont="1" applyBorder="1" applyAlignment="1">
      <alignment horizontal="left" vertical="center"/>
    </xf>
    <xf numFmtId="0" fontId="62" fillId="35" borderId="122" xfId="6" applyBorder="1" applyAlignment="1">
      <alignment horizontal="center"/>
    </xf>
    <xf numFmtId="0" fontId="62" fillId="35" borderId="123" xfId="6" applyBorder="1" applyAlignment="1">
      <alignment horizontal="center"/>
    </xf>
    <xf numFmtId="0" fontId="63" fillId="36" borderId="107" xfId="4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9" fontId="71" fillId="38" borderId="135" xfId="5" applyNumberFormat="1" applyBorder="1" applyAlignment="1">
      <alignment horizontal="center"/>
    </xf>
    <xf numFmtId="9" fontId="71" fillId="38" borderId="136" xfId="5" applyNumberFormat="1" applyBorder="1" applyAlignment="1">
      <alignment horizontal="center"/>
    </xf>
    <xf numFmtId="0" fontId="68" fillId="33" borderId="1" xfId="0" applyFont="1" applyFill="1" applyBorder="1" applyAlignment="1">
      <alignment horizontal="center" vertical="center" wrapText="1"/>
    </xf>
    <xf numFmtId="0" fontId="68" fillId="33" borderId="2" xfId="0" applyFont="1" applyFill="1" applyBorder="1" applyAlignment="1">
      <alignment horizontal="center" vertical="center" wrapText="1"/>
    </xf>
    <xf numFmtId="0" fontId="68" fillId="33" borderId="13" xfId="0" applyFont="1" applyFill="1" applyBorder="1" applyAlignment="1">
      <alignment horizontal="center" vertical="center" wrapText="1"/>
    </xf>
    <xf numFmtId="0" fontId="57" fillId="32" borderId="1" xfId="0" applyFont="1" applyFill="1" applyBorder="1" applyAlignment="1" applyProtection="1">
      <alignment horizontal="center"/>
      <protection locked="0"/>
    </xf>
    <xf numFmtId="0" fontId="57" fillId="32" borderId="13" xfId="0" applyFont="1" applyFill="1" applyBorder="1" applyAlignment="1" applyProtection="1">
      <alignment horizontal="center"/>
      <protection locked="0"/>
    </xf>
    <xf numFmtId="0" fontId="57" fillId="32" borderId="2" xfId="0" applyFont="1" applyFill="1" applyBorder="1" applyAlignment="1" applyProtection="1">
      <alignment horizontal="center"/>
      <protection locked="0"/>
    </xf>
    <xf numFmtId="0" fontId="63" fillId="36" borderId="78" xfId="4" applyAlignment="1" applyProtection="1">
      <alignment horizontal="center"/>
      <protection locked="0"/>
    </xf>
    <xf numFmtId="15" fontId="63" fillId="36" borderId="78" xfId="4" applyNumberFormat="1" applyAlignment="1" applyProtection="1">
      <alignment horizontal="center" vertical="center"/>
      <protection locked="0"/>
    </xf>
    <xf numFmtId="0" fontId="63" fillId="36" borderId="78" xfId="4" applyAlignment="1" applyProtection="1">
      <alignment horizontal="center" vertical="center"/>
      <protection locked="0"/>
    </xf>
    <xf numFmtId="0" fontId="63" fillId="36" borderId="83" xfId="4" applyBorder="1" applyAlignment="1" applyProtection="1">
      <alignment horizontal="center"/>
      <protection locked="0"/>
    </xf>
    <xf numFmtId="0" fontId="63" fillId="36" borderId="76" xfId="4" applyBorder="1" applyAlignment="1" applyProtection="1">
      <alignment horizontal="center"/>
      <protection locked="0"/>
    </xf>
    <xf numFmtId="15" fontId="63" fillId="36" borderId="83" xfId="4" applyNumberFormat="1" applyBorder="1" applyAlignment="1" applyProtection="1">
      <alignment horizontal="center" vertical="center"/>
      <protection locked="0"/>
    </xf>
    <xf numFmtId="15" fontId="63" fillId="36" borderId="76" xfId="4" applyNumberFormat="1" applyBorder="1" applyAlignment="1" applyProtection="1">
      <alignment horizontal="center" vertical="center"/>
      <protection locked="0"/>
    </xf>
    <xf numFmtId="0" fontId="63" fillId="36" borderId="106" xfId="4" applyBorder="1" applyAlignment="1" applyProtection="1">
      <alignment horizontal="center"/>
      <protection locked="0"/>
    </xf>
    <xf numFmtId="0" fontId="63" fillId="36" borderId="83" xfId="4" applyBorder="1" applyAlignment="1" applyProtection="1">
      <alignment horizontal="center" vertical="center"/>
      <protection locked="0"/>
    </xf>
    <xf numFmtId="0" fontId="63" fillId="36" borderId="76" xfId="4" applyBorder="1" applyAlignment="1" applyProtection="1">
      <alignment horizontal="center" vertical="center"/>
      <protection locked="0"/>
    </xf>
    <xf numFmtId="0" fontId="57" fillId="32" borderId="1" xfId="0" applyFont="1" applyFill="1" applyBorder="1" applyAlignment="1" applyProtection="1">
      <alignment horizontal="center" vertical="center"/>
      <protection locked="0"/>
    </xf>
    <xf numFmtId="0" fontId="57" fillId="32" borderId="13" xfId="0" applyFont="1" applyFill="1" applyBorder="1" applyAlignment="1" applyProtection="1">
      <alignment horizontal="center" vertical="center"/>
      <protection locked="0"/>
    </xf>
    <xf numFmtId="0" fontId="57" fillId="32" borderId="2" xfId="0" applyFont="1" applyFill="1" applyBorder="1" applyAlignment="1" applyProtection="1">
      <alignment horizontal="center" vertical="center"/>
      <protection locked="0"/>
    </xf>
    <xf numFmtId="15" fontId="63" fillId="36" borderId="79" xfId="4" applyNumberFormat="1" applyBorder="1" applyAlignment="1" applyProtection="1">
      <alignment horizontal="center" vertical="center"/>
      <protection locked="0"/>
    </xf>
    <xf numFmtId="15" fontId="63" fillId="36" borderId="74" xfId="4" applyNumberFormat="1" applyBorder="1" applyAlignment="1" applyProtection="1">
      <alignment horizontal="center" vertical="center"/>
      <protection locked="0"/>
    </xf>
    <xf numFmtId="0" fontId="63" fillId="36" borderId="79" xfId="4" applyBorder="1" applyAlignment="1" applyProtection="1">
      <alignment horizontal="center"/>
      <protection locked="0"/>
    </xf>
    <xf numFmtId="0" fontId="63" fillId="36" borderId="74" xfId="4" applyBorder="1" applyAlignment="1" applyProtection="1">
      <alignment horizontal="center"/>
      <protection locked="0"/>
    </xf>
    <xf numFmtId="0" fontId="63" fillId="36" borderId="144" xfId="4" applyBorder="1" applyAlignment="1" applyProtection="1">
      <alignment horizontal="center"/>
      <protection locked="0"/>
    </xf>
    <xf numFmtId="0" fontId="63" fillId="36" borderId="79" xfId="4" applyBorder="1" applyAlignment="1" applyProtection="1">
      <alignment horizontal="center" vertical="center"/>
      <protection locked="0"/>
    </xf>
    <xf numFmtId="0" fontId="63" fillId="36" borderId="74" xfId="4" applyBorder="1" applyAlignment="1" applyProtection="1">
      <alignment horizontal="center" vertical="center"/>
      <protection locked="0"/>
    </xf>
    <xf numFmtId="0" fontId="63" fillId="36" borderId="142" xfId="4" applyBorder="1" applyAlignment="1" applyProtection="1">
      <alignment horizontal="center"/>
      <protection locked="0"/>
    </xf>
    <xf numFmtId="0" fontId="63" fillId="36" borderId="143" xfId="4" applyBorder="1" applyAlignment="1" applyProtection="1">
      <alignment horizontal="center"/>
      <protection locked="0"/>
    </xf>
    <xf numFmtId="14" fontId="63" fillId="36" borderId="83" xfId="4" applyNumberFormat="1" applyBorder="1" applyAlignment="1" applyProtection="1">
      <alignment horizontal="center"/>
      <protection locked="0"/>
    </xf>
    <xf numFmtId="14" fontId="63" fillId="36" borderId="76" xfId="4" applyNumberFormat="1" applyBorder="1" applyAlignment="1" applyProtection="1">
      <alignment horizontal="center"/>
      <protection locked="0"/>
    </xf>
    <xf numFmtId="14" fontId="63" fillId="36" borderId="78" xfId="4" applyNumberFormat="1" applyAlignment="1" applyProtection="1">
      <alignment horizontal="center"/>
      <protection locked="0"/>
    </xf>
    <xf numFmtId="0" fontId="80" fillId="36" borderId="78" xfId="4" applyFont="1" applyAlignment="1" applyProtection="1">
      <alignment horizontal="center"/>
      <protection locked="0"/>
    </xf>
    <xf numFmtId="0" fontId="63" fillId="36" borderId="105" xfId="4" applyBorder="1" applyAlignment="1" applyProtection="1">
      <alignment horizontal="center"/>
      <protection locked="0"/>
    </xf>
    <xf numFmtId="0" fontId="63" fillId="36" borderId="83" xfId="52" applyBorder="1" applyAlignment="1" applyProtection="1">
      <alignment horizontal="center"/>
      <protection locked="0"/>
    </xf>
    <xf numFmtId="0" fontId="63" fillId="36" borderId="76" xfId="52" applyBorder="1" applyAlignment="1" applyProtection="1">
      <alignment horizontal="center"/>
      <protection locked="0"/>
    </xf>
    <xf numFmtId="0" fontId="63" fillId="36" borderId="106" xfId="52" applyBorder="1" applyAlignment="1" applyProtection="1">
      <alignment horizontal="center"/>
      <protection locked="0"/>
    </xf>
    <xf numFmtId="0" fontId="63" fillId="36" borderId="83" xfId="52" applyBorder="1" applyAlignment="1" applyProtection="1">
      <alignment horizontal="center" vertical="center"/>
      <protection locked="0"/>
    </xf>
    <xf numFmtId="0" fontId="63" fillId="36" borderId="76" xfId="52" applyBorder="1" applyAlignment="1" applyProtection="1">
      <alignment horizontal="center" vertical="center"/>
      <protection locked="0"/>
    </xf>
    <xf numFmtId="15" fontId="63" fillId="36" borderId="83" xfId="52" applyNumberFormat="1" applyBorder="1" applyAlignment="1" applyProtection="1">
      <alignment horizontal="center" vertical="center"/>
      <protection locked="0"/>
    </xf>
    <xf numFmtId="15" fontId="63" fillId="36" borderId="76" xfId="52" applyNumberFormat="1" applyBorder="1" applyAlignment="1" applyProtection="1">
      <alignment horizontal="center" vertical="center"/>
      <protection locked="0"/>
    </xf>
    <xf numFmtId="15" fontId="63" fillId="36" borderId="142" xfId="4" applyNumberFormat="1" applyBorder="1" applyAlignment="1" applyProtection="1">
      <alignment horizontal="center" vertical="center"/>
      <protection locked="0"/>
    </xf>
    <xf numFmtId="15" fontId="63" fillId="36" borderId="145" xfId="4" applyNumberFormat="1" applyBorder="1" applyAlignment="1" applyProtection="1">
      <alignment horizontal="center" vertical="center"/>
      <protection locked="0"/>
    </xf>
    <xf numFmtId="0" fontId="63" fillId="36" borderId="164" xfId="4" applyBorder="1" applyAlignment="1" applyProtection="1">
      <alignment horizontal="center"/>
      <protection locked="0"/>
    </xf>
    <xf numFmtId="0" fontId="63" fillId="36" borderId="145" xfId="4" applyBorder="1" applyAlignment="1" applyProtection="1">
      <alignment horizontal="center"/>
      <protection locked="0"/>
    </xf>
    <xf numFmtId="0" fontId="63" fillId="36" borderId="142" xfId="4" applyBorder="1" applyAlignment="1" applyProtection="1">
      <alignment horizontal="center" vertical="center"/>
      <protection locked="0"/>
    </xf>
    <xf numFmtId="0" fontId="63" fillId="36" borderId="145" xfId="4" applyBorder="1" applyAlignment="1" applyProtection="1">
      <alignment horizontal="center" vertical="center"/>
      <protection locked="0"/>
    </xf>
    <xf numFmtId="0" fontId="57" fillId="32" borderId="146" xfId="0" applyFont="1" applyFill="1" applyBorder="1" applyAlignment="1" applyProtection="1">
      <alignment horizontal="center" vertical="center"/>
      <protection locked="0"/>
    </xf>
    <xf numFmtId="0" fontId="57" fillId="32" borderId="15" xfId="0" applyFont="1" applyFill="1" applyBorder="1" applyAlignment="1" applyProtection="1">
      <alignment horizontal="center" vertical="center"/>
      <protection locked="0"/>
    </xf>
    <xf numFmtId="0" fontId="57" fillId="32" borderId="21" xfId="0" applyFont="1" applyFill="1" applyBorder="1" applyAlignment="1" applyProtection="1">
      <alignment horizontal="center" vertical="center"/>
      <protection locked="0"/>
    </xf>
    <xf numFmtId="0" fontId="63" fillId="36" borderId="147" xfId="4" applyBorder="1" applyAlignment="1" applyProtection="1">
      <alignment horizontal="center"/>
      <protection locked="0"/>
    </xf>
    <xf numFmtId="14" fontId="63" fillId="36" borderId="79" xfId="4" applyNumberFormat="1" applyBorder="1" applyAlignment="1" applyProtection="1">
      <alignment horizontal="center"/>
      <protection locked="0"/>
    </xf>
    <xf numFmtId="0" fontId="63" fillId="36" borderId="147" xfId="4" applyBorder="1" applyAlignment="1" applyProtection="1">
      <alignment horizontal="center" vertical="center"/>
      <protection locked="0"/>
    </xf>
    <xf numFmtId="0" fontId="63" fillId="36" borderId="167" xfId="4" applyBorder="1" applyAlignment="1" applyProtection="1">
      <alignment horizontal="center" vertical="center"/>
      <protection locked="0"/>
    </xf>
    <xf numFmtId="0" fontId="63" fillId="36" borderId="168" xfId="4" applyBorder="1" applyAlignment="1" applyProtection="1">
      <alignment horizontal="center" vertical="center"/>
      <protection locked="0"/>
    </xf>
    <xf numFmtId="15" fontId="63" fillId="36" borderId="106" xfId="4" applyNumberFormat="1" applyBorder="1" applyAlignment="1" applyProtection="1">
      <alignment horizontal="center" vertical="center"/>
      <protection locked="0"/>
    </xf>
    <xf numFmtId="0" fontId="63" fillId="36" borderId="169" xfId="4" applyBorder="1" applyAlignment="1" applyProtection="1">
      <alignment horizontal="center" vertical="center"/>
      <protection locked="0"/>
    </xf>
    <xf numFmtId="15" fontId="63" fillId="36" borderId="148" xfId="4" applyNumberFormat="1" applyBorder="1" applyAlignment="1" applyProtection="1">
      <alignment horizontal="center" vertical="center"/>
      <protection locked="0"/>
    </xf>
    <xf numFmtId="15" fontId="63" fillId="36" borderId="0" xfId="4" applyNumberFormat="1" applyBorder="1" applyAlignment="1" applyProtection="1">
      <alignment horizontal="center" vertical="center"/>
      <protection locked="0"/>
    </xf>
    <xf numFmtId="0" fontId="63" fillId="36" borderId="18" xfId="4" applyBorder="1" applyAlignment="1" applyProtection="1">
      <alignment horizontal="center"/>
      <protection locked="0"/>
    </xf>
    <xf numFmtId="0" fontId="63" fillId="36" borderId="149" xfId="4" applyBorder="1" applyAlignment="1" applyProtection="1">
      <alignment horizontal="center"/>
      <protection locked="0"/>
    </xf>
    <xf numFmtId="0" fontId="63" fillId="36" borderId="23" xfId="4" applyBorder="1" applyAlignment="1" applyProtection="1">
      <alignment horizontal="center"/>
      <protection locked="0"/>
    </xf>
    <xf numFmtId="0" fontId="63" fillId="36" borderId="150" xfId="4" applyBorder="1" applyAlignment="1" applyProtection="1">
      <alignment horizontal="center"/>
      <protection locked="0"/>
    </xf>
    <xf numFmtId="15" fontId="63" fillId="36" borderId="151" xfId="4" applyNumberFormat="1" applyBorder="1" applyAlignment="1" applyProtection="1">
      <alignment horizontal="center" vertical="center"/>
      <protection locked="0"/>
    </xf>
    <xf numFmtId="15" fontId="63" fillId="36" borderId="87" xfId="4" applyNumberFormat="1" applyBorder="1" applyAlignment="1" applyProtection="1">
      <alignment horizontal="center" vertical="center"/>
      <protection locked="0"/>
    </xf>
    <xf numFmtId="0" fontId="63" fillId="36" borderId="165" xfId="4" applyBorder="1" applyAlignment="1" applyProtection="1">
      <alignment horizontal="center"/>
      <protection locked="0"/>
    </xf>
    <xf numFmtId="0" fontId="63" fillId="36" borderId="165" xfId="4" applyBorder="1" applyAlignment="1" applyProtection="1">
      <alignment horizontal="center" vertical="center"/>
      <protection locked="0"/>
    </xf>
    <xf numFmtId="0" fontId="63" fillId="36" borderId="170" xfId="4" applyBorder="1" applyAlignment="1" applyProtection="1">
      <alignment horizontal="center" vertical="center"/>
      <protection locked="0"/>
    </xf>
    <xf numFmtId="0" fontId="81" fillId="34" borderId="34" xfId="0" applyFont="1" applyFill="1" applyBorder="1" applyAlignment="1">
      <alignment horizontal="center" vertical="center"/>
    </xf>
    <xf numFmtId="0" fontId="81" fillId="34" borderId="45" xfId="0" applyFont="1" applyFill="1" applyBorder="1" applyAlignment="1">
      <alignment horizontal="center" vertical="center"/>
    </xf>
    <xf numFmtId="0" fontId="81" fillId="34" borderId="36" xfId="0" applyFont="1" applyFill="1" applyBorder="1" applyAlignment="1">
      <alignment horizontal="center" vertical="center"/>
    </xf>
    <xf numFmtId="0" fontId="77" fillId="33" borderId="37" xfId="0" applyFont="1" applyFill="1" applyBorder="1" applyAlignment="1">
      <alignment horizontal="center" vertical="center" wrapText="1"/>
    </xf>
    <xf numFmtId="0" fontId="61" fillId="33" borderId="3" xfId="0" applyFont="1" applyFill="1" applyBorder="1" applyAlignment="1">
      <alignment horizontal="center" vertical="center" wrapText="1"/>
    </xf>
    <xf numFmtId="0" fontId="61" fillId="33" borderId="39" xfId="0" applyFont="1" applyFill="1" applyBorder="1" applyAlignment="1">
      <alignment horizontal="center" vertical="center" wrapText="1"/>
    </xf>
    <xf numFmtId="0" fontId="20" fillId="44" borderId="37" xfId="0" applyFont="1" applyFill="1" applyBorder="1" applyAlignment="1">
      <alignment horizontal="center" vertical="center"/>
    </xf>
    <xf numFmtId="0" fontId="20" fillId="44" borderId="3" xfId="0" applyFont="1" applyFill="1" applyBorder="1" applyAlignment="1">
      <alignment horizontal="center" vertical="center"/>
    </xf>
    <xf numFmtId="0" fontId="63" fillId="36" borderId="1" xfId="4" applyBorder="1" applyAlignment="1">
      <alignment horizontal="center" vertical="center"/>
    </xf>
    <xf numFmtId="0" fontId="63" fillId="36" borderId="152" xfId="4" applyBorder="1" applyAlignment="1">
      <alignment horizontal="center" vertical="center"/>
    </xf>
    <xf numFmtId="0" fontId="63" fillId="36" borderId="153" xfId="4" applyBorder="1" applyAlignment="1">
      <alignment horizontal="center" vertical="center"/>
    </xf>
    <xf numFmtId="1" fontId="63" fillId="36" borderId="153" xfId="4" applyNumberFormat="1" applyBorder="1" applyAlignment="1">
      <alignment horizontal="center" vertical="center"/>
    </xf>
    <xf numFmtId="1" fontId="63" fillId="36" borderId="152" xfId="4" applyNumberFormat="1" applyBorder="1" applyAlignment="1">
      <alignment horizontal="center" vertical="center"/>
    </xf>
    <xf numFmtId="9" fontId="71" fillId="38" borderId="79" xfId="5" applyNumberFormat="1" applyBorder="1" applyAlignment="1">
      <alignment horizontal="center" vertical="center"/>
    </xf>
    <xf numFmtId="9" fontId="71" fillId="38" borderId="74" xfId="5" applyNumberFormat="1" applyBorder="1" applyAlignment="1">
      <alignment horizontal="center" vertical="center"/>
    </xf>
    <xf numFmtId="9" fontId="71" fillId="38" borderId="88" xfId="5" applyNumberFormat="1" applyBorder="1" applyAlignment="1">
      <alignment horizontal="center" vertical="center"/>
    </xf>
    <xf numFmtId="9" fontId="71" fillId="38" borderId="83" xfId="5" applyNumberFormat="1" applyBorder="1" applyAlignment="1">
      <alignment horizontal="center" vertical="center"/>
    </xf>
    <xf numFmtId="9" fontId="71" fillId="38" borderId="76" xfId="5" applyNumberForma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63" fillId="36" borderId="55" xfId="4" applyBorder="1" applyAlignment="1">
      <alignment horizontal="center" vertical="center"/>
    </xf>
    <xf numFmtId="0" fontId="63" fillId="36" borderId="154" xfId="4" applyBorder="1" applyAlignment="1">
      <alignment horizontal="center" vertical="center"/>
    </xf>
    <xf numFmtId="0" fontId="63" fillId="36" borderId="155" xfId="4" applyBorder="1" applyAlignment="1">
      <alignment horizontal="center" vertical="center"/>
    </xf>
    <xf numFmtId="1" fontId="63" fillId="36" borderId="155" xfId="4" applyNumberFormat="1" applyBorder="1" applyAlignment="1">
      <alignment horizontal="center" vertical="center"/>
    </xf>
    <xf numFmtId="1" fontId="63" fillId="36" borderId="154" xfId="4" applyNumberFormat="1" applyBorder="1" applyAlignment="1">
      <alignment horizontal="center" vertical="center"/>
    </xf>
    <xf numFmtId="9" fontId="71" fillId="38" borderId="107" xfId="5" applyNumberFormat="1" applyBorder="1" applyAlignment="1">
      <alignment horizontal="center" vertical="center"/>
    </xf>
    <xf numFmtId="9" fontId="71" fillId="38" borderId="90" xfId="5" applyNumberFormat="1" applyBorder="1" applyAlignment="1">
      <alignment horizontal="center" vertical="center"/>
    </xf>
    <xf numFmtId="0" fontId="0" fillId="46" borderId="3" xfId="0" applyFill="1" applyBorder="1" applyAlignment="1">
      <alignment horizontal="center"/>
    </xf>
    <xf numFmtId="0" fontId="60" fillId="34" borderId="16" xfId="0" applyFont="1" applyFill="1" applyBorder="1" applyAlignment="1">
      <alignment horizontal="center" vertical="center"/>
    </xf>
    <xf numFmtId="0" fontId="60" fillId="34" borderId="17" xfId="0" applyFont="1" applyFill="1" applyBorder="1" applyAlignment="1">
      <alignment horizontal="center" vertical="center"/>
    </xf>
    <xf numFmtId="0" fontId="60" fillId="34" borderId="26" xfId="0" applyFont="1" applyFill="1" applyBorder="1" applyAlignment="1">
      <alignment horizontal="center" vertical="center"/>
    </xf>
    <xf numFmtId="0" fontId="60" fillId="34" borderId="5" xfId="0" applyFont="1" applyFill="1" applyBorder="1" applyAlignment="1">
      <alignment horizontal="center" vertical="center"/>
    </xf>
    <xf numFmtId="0" fontId="60" fillId="34" borderId="0" xfId="0" applyFont="1" applyFill="1" applyAlignment="1">
      <alignment horizontal="center" vertical="center"/>
    </xf>
    <xf numFmtId="0" fontId="60" fillId="34" borderId="7" xfId="0" applyFont="1" applyFill="1" applyBorder="1" applyAlignment="1">
      <alignment horizontal="center" vertical="center"/>
    </xf>
    <xf numFmtId="0" fontId="60" fillId="34" borderId="49" xfId="0" applyFont="1" applyFill="1" applyBorder="1" applyAlignment="1">
      <alignment horizontal="center" vertical="center"/>
    </xf>
    <xf numFmtId="0" fontId="60" fillId="34" borderId="41" xfId="0" applyFont="1" applyFill="1" applyBorder="1" applyAlignment="1">
      <alignment horizontal="center" vertical="center"/>
    </xf>
    <xf numFmtId="0" fontId="60" fillId="34" borderId="50" xfId="0" applyFont="1" applyFill="1" applyBorder="1" applyAlignment="1">
      <alignment horizontal="center" vertical="center"/>
    </xf>
    <xf numFmtId="0" fontId="74" fillId="33" borderId="61" xfId="0" applyFont="1" applyFill="1" applyBorder="1" applyAlignment="1">
      <alignment horizontal="center" vertical="center" wrapText="1"/>
    </xf>
    <xf numFmtId="0" fontId="74" fillId="33" borderId="64" xfId="0" applyFont="1" applyFill="1" applyBorder="1" applyAlignment="1">
      <alignment horizontal="center" vertical="center" wrapText="1"/>
    </xf>
    <xf numFmtId="0" fontId="74" fillId="33" borderId="111" xfId="0" applyFont="1" applyFill="1" applyBorder="1" applyAlignment="1">
      <alignment horizontal="center" vertical="center" wrapText="1"/>
    </xf>
    <xf numFmtId="0" fontId="74" fillId="33" borderId="112" xfId="0" applyFont="1" applyFill="1" applyBorder="1" applyAlignment="1">
      <alignment horizontal="center" vertical="center" wrapText="1"/>
    </xf>
    <xf numFmtId="0" fontId="43" fillId="14" borderId="16" xfId="0" applyFont="1" applyFill="1" applyBorder="1" applyAlignment="1">
      <alignment horizontal="center" vertical="center"/>
    </xf>
    <xf numFmtId="0" fontId="43" fillId="14" borderId="17" xfId="0" applyFont="1" applyFill="1" applyBorder="1" applyAlignment="1">
      <alignment horizontal="center" vertical="center"/>
    </xf>
    <xf numFmtId="0" fontId="43" fillId="14" borderId="26" xfId="0" applyFont="1" applyFill="1" applyBorder="1" applyAlignment="1">
      <alignment horizontal="center" vertical="center"/>
    </xf>
    <xf numFmtId="0" fontId="47" fillId="29" borderId="61" xfId="0" applyFont="1" applyFill="1" applyBorder="1" applyAlignment="1">
      <alignment horizontal="center" vertical="center"/>
    </xf>
    <xf numFmtId="0" fontId="47" fillId="29" borderId="62" xfId="0" applyFont="1" applyFill="1" applyBorder="1" applyAlignment="1">
      <alignment horizontal="center" vertical="center"/>
    </xf>
    <xf numFmtId="0" fontId="47" fillId="29" borderId="30" xfId="0" applyFont="1" applyFill="1" applyBorder="1" applyAlignment="1">
      <alignment horizontal="center" vertical="center"/>
    </xf>
    <xf numFmtId="0" fontId="47" fillId="29" borderId="63" xfId="0" applyFont="1" applyFill="1" applyBorder="1" applyAlignment="1">
      <alignment horizontal="center" vertical="center"/>
    </xf>
    <xf numFmtId="0" fontId="38" fillId="14" borderId="5" xfId="0" applyFont="1" applyFill="1" applyBorder="1" applyAlignment="1">
      <alignment horizontal="center" vertical="center" wrapText="1"/>
    </xf>
    <xf numFmtId="0" fontId="38" fillId="14" borderId="16" xfId="0" applyFont="1" applyFill="1" applyBorder="1" applyAlignment="1">
      <alignment horizontal="center" vertical="center" wrapText="1"/>
    </xf>
    <xf numFmtId="0" fontId="38" fillId="14" borderId="49" xfId="0" applyFont="1" applyFill="1" applyBorder="1" applyAlignment="1">
      <alignment horizontal="center" vertical="center" wrapText="1"/>
    </xf>
    <xf numFmtId="0" fontId="38" fillId="29" borderId="16" xfId="0" applyFont="1" applyFill="1" applyBorder="1" applyAlignment="1">
      <alignment horizontal="center" vertical="center"/>
    </xf>
    <xf numFmtId="0" fontId="38" fillId="29" borderId="5" xfId="0" applyFont="1" applyFill="1" applyBorder="1" applyAlignment="1">
      <alignment horizontal="center" vertical="center"/>
    </xf>
    <xf numFmtId="0" fontId="38" fillId="29" borderId="49" xfId="0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27" borderId="0" xfId="0" applyFont="1" applyFill="1" applyAlignment="1">
      <alignment horizontal="center"/>
    </xf>
    <xf numFmtId="0" fontId="35" fillId="0" borderId="5" xfId="0" applyFont="1" applyBorder="1" applyAlignment="1">
      <alignment horizontal="center"/>
    </xf>
    <xf numFmtId="0" fontId="25" fillId="8" borderId="16" xfId="0" applyFont="1" applyFill="1" applyBorder="1" applyAlignment="1">
      <alignment horizontal="left" vertical="center" wrapText="1"/>
    </xf>
    <xf numFmtId="0" fontId="25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</cellXfs>
  <cellStyles count="60">
    <cellStyle name="20% - Accent1" xfId="7" builtinId="30"/>
    <cellStyle name="20% - Accent3" xfId="8" builtinId="38"/>
    <cellStyle name="20% - Accent5" xfId="9" builtinId="46"/>
    <cellStyle name="60% - Accent1 2" xfId="10" xr:uid="{00000000-0005-0000-0000-000031000000}"/>
    <cellStyle name="60% - Accent2 2" xfId="11" xr:uid="{00000000-0005-0000-0000-000032000000}"/>
    <cellStyle name="60% - Accent3 2" xfId="12" xr:uid="{00000000-0005-0000-0000-000033000000}"/>
    <cellStyle name="60% - Accent4 2" xfId="13" xr:uid="{00000000-0005-0000-0000-000034000000}"/>
    <cellStyle name="60% - Accent5 2" xfId="14" xr:uid="{00000000-0005-0000-0000-000035000000}"/>
    <cellStyle name="60% - Accent6 2" xfId="15" xr:uid="{00000000-0005-0000-0000-000036000000}"/>
    <cellStyle name="Calculation" xfId="5" builtinId="22"/>
    <cellStyle name="Check Cell" xfId="6" builtinId="23"/>
    <cellStyle name="Comma" xfId="1" builtinId="3"/>
    <cellStyle name="Comma 2" xfId="16" xr:uid="{00000000-0005-0000-0000-000037000000}"/>
    <cellStyle name="Comma 2 2" xfId="17" xr:uid="{00000000-0005-0000-0000-000038000000}"/>
    <cellStyle name="Comma 2 2 2" xfId="18" xr:uid="{00000000-0005-0000-0000-000039000000}"/>
    <cellStyle name="Comma 2 2 2 2" xfId="19" xr:uid="{00000000-0005-0000-0000-00003A000000}"/>
    <cellStyle name="Comma 2 2 3" xfId="20" xr:uid="{00000000-0005-0000-0000-00003B000000}"/>
    <cellStyle name="Comma 2 2 3 2" xfId="21" xr:uid="{00000000-0005-0000-0000-00003C000000}"/>
    <cellStyle name="Comma 2 2 4" xfId="22" xr:uid="{00000000-0005-0000-0000-00003D000000}"/>
    <cellStyle name="Comma 2 2 4 2" xfId="23" xr:uid="{00000000-0005-0000-0000-00003E000000}"/>
    <cellStyle name="Comma 2 2 5" xfId="24" xr:uid="{00000000-0005-0000-0000-00003F000000}"/>
    <cellStyle name="Comma 2 3" xfId="25" xr:uid="{00000000-0005-0000-0000-000040000000}"/>
    <cellStyle name="Comma 2 3 2" xfId="26" xr:uid="{00000000-0005-0000-0000-000041000000}"/>
    <cellStyle name="Comma 2 4" xfId="27" xr:uid="{00000000-0005-0000-0000-000042000000}"/>
    <cellStyle name="Comma 2 4 2" xfId="28" xr:uid="{00000000-0005-0000-0000-000043000000}"/>
    <cellStyle name="Comma 2 5" xfId="29" xr:uid="{00000000-0005-0000-0000-000044000000}"/>
    <cellStyle name="Comma 2 5 2" xfId="30" xr:uid="{00000000-0005-0000-0000-000045000000}"/>
    <cellStyle name="Comma 2 6" xfId="31" xr:uid="{00000000-0005-0000-0000-000046000000}"/>
    <cellStyle name="Comma 3" xfId="32" xr:uid="{00000000-0005-0000-0000-000047000000}"/>
    <cellStyle name="Comma 3 2" xfId="33" xr:uid="{00000000-0005-0000-0000-000048000000}"/>
    <cellStyle name="Comma 3 2 2" xfId="34" xr:uid="{00000000-0005-0000-0000-000049000000}"/>
    <cellStyle name="Comma 3 3" xfId="35" xr:uid="{00000000-0005-0000-0000-00004A000000}"/>
    <cellStyle name="Comma 3 3 2" xfId="36" xr:uid="{00000000-0005-0000-0000-00004B000000}"/>
    <cellStyle name="Comma 3 4" xfId="37" xr:uid="{00000000-0005-0000-0000-00004C000000}"/>
    <cellStyle name="Comma 3 4 2" xfId="38" xr:uid="{00000000-0005-0000-0000-00004D000000}"/>
    <cellStyle name="Comma 3 5" xfId="39" xr:uid="{00000000-0005-0000-0000-00004E000000}"/>
    <cellStyle name="Comma 3 6" xfId="40" xr:uid="{00000000-0005-0000-0000-00004F000000}"/>
    <cellStyle name="Comma 4" xfId="41" xr:uid="{00000000-0005-0000-0000-000050000000}"/>
    <cellStyle name="Comma 4 2" xfId="42" xr:uid="{00000000-0005-0000-0000-000051000000}"/>
    <cellStyle name="Comma 5" xfId="43" xr:uid="{00000000-0005-0000-0000-000052000000}"/>
    <cellStyle name="Comma 5 2" xfId="44" xr:uid="{00000000-0005-0000-0000-000053000000}"/>
    <cellStyle name="Comma 5 2 2" xfId="45" xr:uid="{00000000-0005-0000-0000-000054000000}"/>
    <cellStyle name="Comma 5 3" xfId="46" xr:uid="{00000000-0005-0000-0000-000055000000}"/>
    <cellStyle name="Comma 6" xfId="47" xr:uid="{00000000-0005-0000-0000-000056000000}"/>
    <cellStyle name="Comma 6 2" xfId="48" xr:uid="{00000000-0005-0000-0000-000057000000}"/>
    <cellStyle name="Comma 7" xfId="49" xr:uid="{00000000-0005-0000-0000-000058000000}"/>
    <cellStyle name="Currency 2" xfId="50" xr:uid="{00000000-0005-0000-0000-000059000000}"/>
    <cellStyle name="Currency 3" xfId="51" xr:uid="{00000000-0005-0000-0000-00005A000000}"/>
    <cellStyle name="Input" xfId="4" builtinId="20"/>
    <cellStyle name="Input 2" xfId="52" xr:uid="{00000000-0005-0000-0000-00005B000000}"/>
    <cellStyle name="Neutral 2" xfId="53" xr:uid="{00000000-0005-0000-0000-00005C000000}"/>
    <cellStyle name="Normal" xfId="0" builtinId="0"/>
    <cellStyle name="Normal 11 5" xfId="54" xr:uid="{00000000-0005-0000-0000-00005D000000}"/>
    <cellStyle name="Normal 2" xfId="55" xr:uid="{00000000-0005-0000-0000-00005E000000}"/>
    <cellStyle name="Normal 3" xfId="56" xr:uid="{00000000-0005-0000-0000-00005F000000}"/>
    <cellStyle name="Normal 3 2" xfId="57" xr:uid="{00000000-0005-0000-0000-000060000000}"/>
    <cellStyle name="Normal 4" xfId="58" xr:uid="{00000000-0005-0000-0000-000061000000}"/>
    <cellStyle name="Normal 4 3" xfId="59" xr:uid="{00000000-0005-0000-0000-000062000000}"/>
    <cellStyle name="Note" xfId="3" builtinId="10"/>
    <cellStyle name="Percent" xfId="2" builtinId="5"/>
  </cellStyles>
  <dxfs count="5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543259987182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5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A-4CCC-96C3-4BD27813A7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FAA-4CCC-96C3-4BD27813A7A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FAA-4CCC-96C3-4BD27813A7A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A-4CCC-96C3-4BD27813A7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7-4E46-9263-D4277D11C0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2-4801-B2BC-2AF1195D0FE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2F2-4801-B2BC-2AF1195D0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8-4174-BA14-1394F671B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468-4174-BA14-1394F671B99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468-4174-BA14-1394F671B99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8-4174-BA14-1394F671B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3-402D-8FC9-83D4708EEA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3-44FE-934C-F319E48D464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A33-44FE-934C-F319E48D4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5-4CBF-80C4-FB2239E3B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795-4CBF-80C4-FB2239E3B5E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795-4CBF-80C4-FB2239E3B5E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5-4CBF-80C4-FB2239E3B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9-416A-9E23-BF51863E03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B-4AF9-A5E5-C7303469D57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F5B-4AF9-A5E5-C7303469D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D-4979-90D2-DA04E3BDAC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C2D-4979-90D2-DA04E3BDAC4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CC2D-4979-90D2-DA04E3BDAC4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2D-4979-90D2-DA04E3BDAC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A-48B0-A0AE-76F1DECDBB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9-4065-ABE6-0F09E165C1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5E9-4065-ABE6-0F09E165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B-45FF-AFC5-7D4DE08D04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D8B-45FF-AFC5-7D4DE08D04A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D8B-45FF-AFC5-7D4DE08D04A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B-45FF-AFC5-7D4DE08D04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B-47D9-AF1F-8F4142E56E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8-481B-8D5E-1CA79173FFB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6F8-481B-8D5E-1CA79173F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4C6-9BEB-2A17A967D6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B9D-44C6-9BEB-2A17A967D67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CB9D-44C6-9BEB-2A17A967D67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D-44C6-9BEB-2A17A967D6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D-43CD-933C-91CB15168B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9-4FF9-A138-7FDCBB72BC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609-4FF9-A138-7FDCBB72B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17-AE04-E474BB14FD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033-4B17-AE04-E474BB14FD8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A033-4B17-AE04-E474BB14FD8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3-4B17-AE04-E474BB14FD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4-4CCB-9F15-2B03C03026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312-828B-8B390C697F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CF8-4312-828B-8B390C69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D-4A39-AD6F-55CFF45F18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76D-4A39-AD6F-55CFF45F189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B76D-4A39-AD6F-55CFF45F189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D-4A39-AD6F-55CFF45F18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1-4314-9C86-53FBCBD2DC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1-40D0-8C2B-6FD3E42E7C2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D21-40D0-8C2B-6FD3E42E7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C-4B60-8531-D1D769FDA7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E8BC-4B60-8531-D1D769FDA7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E8BC-4B60-8531-D1D769FDA7D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C-4B60-8531-D1D769FDA7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7-4A3E-8529-BA4F3A422D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3-490D-8491-10884A9824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B23-490D-8491-10884A98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D-4D3A-8F59-AFC14D1339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5DD-4D3A-8F59-AFC14D1339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5DD-4D3A-8F59-AFC14D1339B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D-4D3A-8F59-AFC14D1339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C-4D41-898B-DA92732051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6-4A14-9B9A-82005BA62B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506-4A14-9B9A-82005BA62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F-4CFB-B422-A07F9865D6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5EF-4CFB-B422-A07F9865D6D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5EF-4CFB-B422-A07F9865D6D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F-4CFB-B422-A07F9865D6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A-4D0B-8D62-10628EB6E9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2-4846-9A0E-B554EC80C06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5F2-4846-9A0E-B554EC80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5-4391-A798-92B0CF2D37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7E5-4391-A798-92B0CF2D379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7E5-4391-A798-92B0CF2D379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5-4391-A798-92B0CF2D37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1-4CF7-B614-098481090E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D-4D51-9071-4951119859B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9AD-4D51-9071-495111985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1-471E-85AD-3B3B10D6AF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C81-471E-85AD-3B3B10D6AF5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C81-471E-85AD-3B3B10D6AF5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1-471E-85AD-3B3B10D6AF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4-489D-9470-3E90B9383E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6-4C42-95A0-B98EA63962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B36-4C42-95A0-B98EA6396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8-4703-A513-40EB120559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F58-4703-A513-40EB1205592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F58-4703-A513-40EB1205592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8-4703-A513-40EB120559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8-467E-A2BA-DE18ABC917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0-438A-A293-3E40747C5B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8E0-438A-A293-3E40747C5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7-4E4F-BCFA-98F7FB424C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D87-4E4F-BCFA-98F7FB424C2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D87-4E4F-BCFA-98F7FB424C2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7-4E4F-BCFA-98F7FB424C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4-4DA0-8436-1321F0257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C-4B74-A507-BC3AFDFBF2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D5C-4B74-A507-BC3AFDFBF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D-459B-8A5E-2A7DE9DFD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E1D-459B-8A5E-2A7DE9DFDA2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E1D-459B-8A5E-2A7DE9DFDA2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D-459B-8A5E-2A7DE9DFD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3-4638-89BD-5DEA0435CF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4-45BA-BC00-3335C50ECC4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A14-45BA-BC00-3335C50EC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D-4A14-A5AA-E1E6B457D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CED-4A14-A5AA-E1E6B457D48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5CED-4A14-A5AA-E1E6B457D48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D-4A14-A5AA-E1E6B457D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D-431E-8CAA-8AEE207B88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B-482B-BD51-5F1F4B3399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29B-482B-BD51-5F1F4B339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B0B-B8E6-86BA30B62D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E8A-4B0B-B8E6-86BA30B62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E8A-4B0B-B8E6-86BA30B62D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A-4B0B-B8E6-86BA30B62D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3-486B-A7AB-6A6A86DA70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C-4A38-A630-A1BDECBF1F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01C-4A38-A630-A1BDECBF1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0-41B6-9840-F30174A2D5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F00-41B6-9840-F30174A2D5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DF00-41B6-9840-F30174A2D54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00-41B6-9840-F30174A2D5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3-4FC6-8A98-AC454BAB5F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F-4AF2-A06B-41C591C04B8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34F-4AF2-A06B-41C591C04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6-4E82-A989-01F97AB41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D06-4E82-A989-01F97AB4112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D06-4E82-A989-01F97AB4112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6-4E82-A989-01F97AB41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3-425C-8BA2-0C2F9220DE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9-46F8-8BB5-85DFA037F0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339-46F8-8BB5-85DFA037F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6-41CD-808D-EEDAC5D827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0F6-41CD-808D-EEDAC5D8278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0F6-41CD-808D-EEDAC5D8278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6-41CD-808D-EEDAC5D827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3-4A9A-A6A2-14FAFFCF2C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1-49A2-9EFF-0ECE6C395C0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E01-49A2-9EFF-0ECE6C395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7-4DE4-A384-EDFF708B4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2B7-4DE4-A384-EDFF708B446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2B7-4DE4-A384-EDFF708B446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7-4DE4-A384-EDFF708B4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6-43C1-B339-BC035B04BF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0-4884-84B8-B6A7208B23E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3D0-4884-84B8-B6A7208B2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Gloria U/G Water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[5]Input!$B$2</c:f>
              <c:strCache>
                <c:ptCount val="1"/>
                <c:pt idx="0">
                  <c:v>Date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[5]Input!$B$4:$B$8</c:f>
              <c:strCache>
                <c:ptCount val="5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</c:strCache>
            </c:strRef>
          </c:cat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9-43AA-96D5-CA106FCE5363}"/>
            </c:ext>
          </c:extLst>
        </c:ser>
        <c:ser>
          <c:idx val="2"/>
          <c:order val="1"/>
          <c:tx>
            <c:strRef>
              <c:f>[5]Input!$F$1</c:f>
              <c:strCache>
                <c:ptCount val="1"/>
                <c:pt idx="0">
                  <c:v>Gamagara to U/G and C/House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C9-43AA-96D5-CA106FCE5363}"/>
            </c:ext>
          </c:extLst>
        </c:ser>
        <c:ser>
          <c:idx val="1"/>
          <c:order val="2"/>
          <c:tx>
            <c:strRef>
              <c:f>[5]Input!$C$1</c:f>
              <c:strCache>
                <c:ptCount val="1"/>
                <c:pt idx="0">
                  <c:v>Underground to Lined Dam/Surface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[5]Input!$E$4:$E$8</c:f>
              <c:numCache>
                <c:formatCode>General</c:formatCode>
                <c:ptCount val="5"/>
                <c:pt idx="0">
                  <c:v>0</c:v>
                </c:pt>
                <c:pt idx="1">
                  <c:v>22900</c:v>
                </c:pt>
                <c:pt idx="4">
                  <c:v>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C9-43AA-96D5-CA106FCE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887519"/>
        <c:axId val="476890015"/>
      </c:lineChart>
      <c:catAx>
        <c:axId val="476887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90015"/>
        <c:crosses val="autoZero"/>
        <c:auto val="1"/>
        <c:lblAlgn val="ctr"/>
        <c:lblOffset val="100"/>
        <c:noMultiLvlLbl val="0"/>
      </c:catAx>
      <c:valAx>
        <c:axId val="47689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272e67-3a70-4d25-b8ef-ec9431a338f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D44-42D1-8021-D2E917AA84B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D44-42D1-8021-D2E917AA84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ABRASION</c:v>
              </c:pt>
              <c:pt idx="1">
                <c:v>ABRATION</c:v>
              </c:pt>
            </c:strLit>
          </c:cat>
          <c:val>
            <c:numLit>
              <c:formatCode>General</c:formatCode>
              <c:ptCount val="2"/>
              <c:pt idx="0">
                <c:v>20</c:v>
              </c:pt>
              <c:pt idx="1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5D44-42D1-8021-D2E917AA84B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</c:v>
              </c:pt>
            </c:numLit>
          </c:val>
          <c:extLst>
            <c:ext xmlns:c16="http://schemas.microsoft.com/office/drawing/2014/chart" uri="{C3380CC4-5D6E-409C-BE32-E72D297353CC}">
              <c16:uniqueId val="{00000000-5481-4A2B-8E8E-19BE942AA2C4}"/>
            </c:ext>
          </c:extLst>
        </c:ser>
        <c:ser>
          <c:idx val="1"/>
          <c:order val="1"/>
          <c:tx>
            <c:v>February</c:v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1-5481-4A2B-8E8E-19BE942AA2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E-4D1D-94A1-D15CEADEB517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E-4D1D-94A1-D15CEADEB517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E-4D1D-94A1-D15CEADEB517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E-4D1D-94A1-D15CEADEB517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4E-4D1D-94A1-D15CEADEB517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E-4D1D-94A1-D15CEADEB517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4E-4D1D-94A1-D15CEADEB517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4E-4D1D-94A1-D15CEADE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E9E-4B50-B89C-0AB8F77C92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E9E-4B50-B89C-0AB8F77C92AC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E9E-4B50-B89C-0AB8F77C92A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E-4B50-B89C-0AB8F77C92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E40-45AE-A672-C9F05F8D53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0-45AE-A672-C9F05F8D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A5D-499E-95D0-2A90A0D65B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D-499E-95D0-2A90A0D6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533-4C7A-B4B3-06A6EC95E7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3-4C7A-B4B3-06A6EC95E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EED-4B83-86AA-DBE9619377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D-4B83-86AA-DBE96193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7B2-4797-BCA2-059C8CF09A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2-4797-BCA2-059C8CF09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AB1-4C40-B9A1-FBDB8E85EF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1-4C40-B9A1-FBDB8E85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A4A-487C-ADE8-0247FAA67D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A-487C-ADE8-0247FAA6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366-48EE-88A5-E6D8DD99C6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6-48EE-88A5-E6D8DD99C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BBE-4A79-9BBE-3CA734D860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E-4A79-9BBE-3CA734D86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088-47AC-904E-5EC823C691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8-47AC-904E-5EC823C6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4AF-4D68-BA65-1215598DA3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F-4D68-BA65-1215598DA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BAA-4F56-9E30-FEA263E7B1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A-4F56-9E30-FEA263E7B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F49-4C59-8F9E-36FDDD02A1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9-4C59-8F9E-36FDDD02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2A5-4BE8-9E29-865BB2CD91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5-4BE8-9E29-865BB2CD9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154-47CC-86F6-C470391D34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4-47CC-86F6-C470391D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956-48B8-8496-4C4C209FED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6-48B8-8496-4C4C209FE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CD6-451E-98C0-9B3DF1E99B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D6-451E-98C0-9B3DF1E9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35B-46F0-8AA7-802B099E03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B-46F0-8AA7-802B099E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0C5-4122-A853-20EC87EFE3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5-4122-A853-20EC87EFE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19F-40F9-B69D-05569F90C4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F-40F9-B69D-05569F90C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A59-4297-92A2-C9388C8515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9-4297-92A2-C9388C85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8C9-4499-AE05-1ECAF460FA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C9-4499-AE05-1ECAF460F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13" Type="http://schemas.openxmlformats.org/officeDocument/2006/relationships/chart" Target="../charts/chart83.xml"/><Relationship Id="rId18" Type="http://schemas.openxmlformats.org/officeDocument/2006/relationships/chart" Target="../charts/chart88.xml"/><Relationship Id="rId3" Type="http://schemas.openxmlformats.org/officeDocument/2006/relationships/chart" Target="../charts/chart73.xml"/><Relationship Id="rId21" Type="http://schemas.openxmlformats.org/officeDocument/2006/relationships/chart" Target="../charts/chart91.xml"/><Relationship Id="rId7" Type="http://schemas.openxmlformats.org/officeDocument/2006/relationships/chart" Target="../charts/chart77.xml"/><Relationship Id="rId12" Type="http://schemas.openxmlformats.org/officeDocument/2006/relationships/chart" Target="../charts/chart82.xml"/><Relationship Id="rId17" Type="http://schemas.openxmlformats.org/officeDocument/2006/relationships/chart" Target="../charts/chart87.xml"/><Relationship Id="rId2" Type="http://schemas.openxmlformats.org/officeDocument/2006/relationships/chart" Target="../charts/chart72.xml"/><Relationship Id="rId16" Type="http://schemas.openxmlformats.org/officeDocument/2006/relationships/chart" Target="../charts/chart86.xml"/><Relationship Id="rId20" Type="http://schemas.openxmlformats.org/officeDocument/2006/relationships/chart" Target="../charts/chart90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11" Type="http://schemas.openxmlformats.org/officeDocument/2006/relationships/chart" Target="../charts/chart81.xml"/><Relationship Id="rId5" Type="http://schemas.openxmlformats.org/officeDocument/2006/relationships/chart" Target="../charts/chart75.xml"/><Relationship Id="rId15" Type="http://schemas.openxmlformats.org/officeDocument/2006/relationships/chart" Target="../charts/chart85.xml"/><Relationship Id="rId23" Type="http://schemas.openxmlformats.org/officeDocument/2006/relationships/chart" Target="../charts/chart93.xml"/><Relationship Id="rId10" Type="http://schemas.openxmlformats.org/officeDocument/2006/relationships/chart" Target="../charts/chart80.xml"/><Relationship Id="rId19" Type="http://schemas.openxmlformats.org/officeDocument/2006/relationships/chart" Target="../charts/chart89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Relationship Id="rId14" Type="http://schemas.openxmlformats.org/officeDocument/2006/relationships/chart" Target="../charts/chart84.xml"/><Relationship Id="rId22" Type="http://schemas.openxmlformats.org/officeDocument/2006/relationships/chart" Target="../charts/char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420370</xdr:colOff>
      <xdr:row>15</xdr:row>
      <xdr:rowOff>105410</xdr:rowOff>
    </xdr:from>
    <xdr:to>
      <xdr:col>22</xdr:col>
      <xdr:colOff>233044</xdr:colOff>
      <xdr:row>31</xdr:row>
      <xdr:rowOff>162560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47625</xdr:rowOff>
    </xdr:from>
    <xdr:to>
      <xdr:col>20</xdr:col>
      <xdr:colOff>142875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17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6081375" y="952500"/>
          <a:ext cx="1841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9525</xdr:colOff>
      <xdr:row>1</xdr:row>
      <xdr:rowOff>0</xdr:rowOff>
    </xdr:from>
    <xdr:to>
      <xdr:col>5</xdr:col>
      <xdr:colOff>793115</xdr:colOff>
      <xdr:row>18</xdr:row>
      <xdr:rowOff>184785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155575</xdr:colOff>
      <xdr:row>1</xdr:row>
      <xdr:rowOff>0</xdr:rowOff>
    </xdr:from>
    <xdr:to>
      <xdr:col>10</xdr:col>
      <xdr:colOff>63500</xdr:colOff>
      <xdr:row>19</xdr:row>
      <xdr:rowOff>17780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061220\Downloads\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Dec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Januar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February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Gloria%20Water%20Readings\Water%20Management\Water%20Balance%20vs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Jan"/>
      <sheetName val="TMM Cleaning 01 Jan"/>
      <sheetName val="25 Dec        "/>
      <sheetName val="TMM Cleaning 25 Dec"/>
      <sheetName val="18 Dec       "/>
      <sheetName val="TMM Cleaning 18 Dec   "/>
      <sheetName val="11 Dec      "/>
      <sheetName val="TMM Cleaning 11 Dec   "/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P85">
            <v>1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 Jan"/>
      <sheetName val="TMM Cleaning 29 Jan"/>
      <sheetName val="22 Jan"/>
      <sheetName val="TMM Cleaning 22 Jan"/>
      <sheetName val="15 Jan"/>
      <sheetName val="TMM Cleaning 15 Jan"/>
      <sheetName val="08 Jan"/>
      <sheetName val="TMM Cleaning 08 Jan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0.5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3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 Feb "/>
      <sheetName val="TMM Cleaning 19 Feb"/>
      <sheetName val="12 Feb"/>
      <sheetName val="TMM Cleaning 12 Feb"/>
      <sheetName val="05 Feb"/>
      <sheetName val="TMM Cleaning 05 Feb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0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>
            <v>0.5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0.8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2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  <cell r="P89">
            <v>2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</sheetNames>
    <sheetDataSet>
      <sheetData sheetId="0">
        <row r="1">
          <cell r="C1" t="str">
            <v>Underground to Lined Dam/Surface</v>
          </cell>
          <cell r="F1" t="str">
            <v>Gamagara to U/G and C/House</v>
          </cell>
        </row>
        <row r="2">
          <cell r="B2" t="str">
            <v>Date</v>
          </cell>
        </row>
        <row r="4">
          <cell r="B4" t="str">
            <v>July</v>
          </cell>
          <cell r="E4">
            <v>0</v>
          </cell>
          <cell r="H4">
            <v>1814</v>
          </cell>
        </row>
        <row r="5">
          <cell r="B5" t="str">
            <v>Aug</v>
          </cell>
          <cell r="E5">
            <v>22900</v>
          </cell>
          <cell r="H5">
            <v>3584</v>
          </cell>
        </row>
        <row r="6">
          <cell r="B6" t="str">
            <v>Sep</v>
          </cell>
          <cell r="H6">
            <v>2459</v>
          </cell>
        </row>
        <row r="7">
          <cell r="B7" t="str">
            <v>Oct</v>
          </cell>
          <cell r="H7">
            <v>2215</v>
          </cell>
        </row>
        <row r="8">
          <cell r="B8" t="str">
            <v>Nov</v>
          </cell>
          <cell r="E8">
            <v>14402</v>
          </cell>
          <cell r="H8">
            <v>2618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4"/>
    </filterColumn>
  </autoFilter>
  <tableColumns count="11">
    <tableColumn id="1" xr3:uid="{00000000-0010-0000-0000-000001000000}" name="Date" dataDxfId="43"/>
    <tableColumn id="2" xr3:uid="{00000000-0010-0000-0000-000002000000}" name="Equipment No" dataDxfId="42"/>
    <tableColumn id="3" xr3:uid="{00000000-0010-0000-0000-000003000000}" name="Shaft" dataDxfId="41"/>
    <tableColumn id="4" xr3:uid="{00000000-0010-0000-0000-000004000000}" name="Inspection point" dataDxfId="40"/>
    <tableColumn id="5" xr3:uid="{00000000-0010-0000-0000-000005000000}" name="Details"/>
    <tableColumn id="6" xr3:uid="{00000000-0010-0000-0000-000006000000}" name="Comments" dataDxfId="39"/>
    <tableColumn id="7" xr3:uid="{00000000-0010-0000-0000-000007000000}" name="Corrective Work order number" dataDxfId="38"/>
    <tableColumn id="8" xr3:uid="{00000000-0010-0000-0000-000008000000}" name="Compliant (Y/N)" dataDxfId="37"/>
    <tableColumn id="9" xr3:uid="{00000000-0010-0000-0000-000009000000}" name="Comment" dataDxfId="36"/>
    <tableColumn id="10" xr3:uid="{00000000-0010-0000-0000-00000A000000}" name="Completion date" dataDxfId="35"/>
    <tableColumn id="11" xr3:uid="{00000000-0010-0000-0000-00000B000000}" name="Signatu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3"/>
    <tableColumn id="2" xr3:uid="{00000000-0010-0000-0100-000002000000}" name="Or Ty Description" dataDxfId="32"/>
    <tableColumn id="3" xr3:uid="{00000000-0010-0000-0100-000003000000}" name="Unit Number" dataDxfId="31"/>
    <tableColumn id="4" xr3:uid="{00000000-0010-0000-0100-000004000000}" name="Supervisor" dataDxfId="30"/>
    <tableColumn id="5" xr3:uid="{00000000-0010-0000-0100-000005000000}" name="Planned Start Date" dataDxfId="29"/>
    <tableColumn id="6" xr3:uid="{00000000-0010-0000-0100-000006000000}" name="Completion Date" dataDxfId="28"/>
    <tableColumn id="7" xr3:uid="{00000000-0010-0000-0100-000007000000}" name="Responsible" dataDxfId="27"/>
    <tableColumn id="8" xr3:uid="{00000000-0010-0000-0100-000008000000}" name="Work Order  Status" dataDxfId="26"/>
    <tableColumn id="9" xr3:uid="{00000000-0010-0000-0100-000009000000}" name="Comment" dataDxfId="2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8" totalsRowShown="0">
  <autoFilter ref="A1:K48" xr:uid="{00000000-0009-0000-0100-000001000000}"/>
  <tableColumns count="11">
    <tableColumn id="1" xr3:uid="{00000000-0010-0000-0200-000001000000}" name="Project" dataDxfId="24"/>
    <tableColumn id="2" xr3:uid="{00000000-0010-0000-0200-000002000000}" name="Year" dataDxfId="23"/>
    <tableColumn id="3" xr3:uid="{00000000-0010-0000-0200-000003000000}" name="Vote" dataDxfId="22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6328125" defaultRowHeight="14.5"/>
  <cols>
    <col min="1" max="1" width="28.36328125" customWidth="1"/>
    <col min="2" max="2" width="24" customWidth="1"/>
    <col min="3" max="3" width="27.08984375" customWidth="1"/>
    <col min="4" max="4" width="35.36328125" customWidth="1"/>
    <col min="5" max="5" width="35.90625" customWidth="1"/>
    <col min="6" max="6" width="29.6328125" customWidth="1"/>
    <col min="7" max="7" width="32.453125" customWidth="1"/>
    <col min="8" max="8" width="45.453125" customWidth="1"/>
    <col min="9" max="9" width="26.08984375" customWidth="1"/>
    <col min="10" max="10" width="24.90625" customWidth="1"/>
    <col min="11" max="11" width="44.453125" customWidth="1"/>
    <col min="12" max="12" width="14.90625" customWidth="1"/>
    <col min="13" max="13" width="14" customWidth="1"/>
  </cols>
  <sheetData>
    <row r="1" spans="2:9" ht="18.5">
      <c r="C1" s="647" t="s">
        <v>0</v>
      </c>
      <c r="D1" s="647"/>
      <c r="E1" s="647"/>
      <c r="F1" s="647"/>
      <c r="G1" s="647"/>
    </row>
    <row r="2" spans="2:9">
      <c r="C2" s="322" t="s">
        <v>1</v>
      </c>
      <c r="D2" s="648" t="s">
        <v>2</v>
      </c>
      <c r="E2" s="648"/>
    </row>
    <row r="4" spans="2:9">
      <c r="C4" s="559">
        <v>44745</v>
      </c>
      <c r="D4" s="559">
        <v>44776</v>
      </c>
      <c r="E4" s="559">
        <v>44807</v>
      </c>
      <c r="F4" s="559">
        <v>44837</v>
      </c>
      <c r="G4" s="559">
        <v>44868</v>
      </c>
      <c r="H4" s="559">
        <v>44898</v>
      </c>
      <c r="I4" s="559" t="s">
        <v>3</v>
      </c>
    </row>
    <row r="5" spans="2:9">
      <c r="B5" s="560" t="s">
        <v>4</v>
      </c>
      <c r="C5" s="561" t="s">
        <v>5</v>
      </c>
      <c r="D5" s="561" t="s">
        <v>6</v>
      </c>
      <c r="E5" s="561" t="s">
        <v>7</v>
      </c>
      <c r="F5" s="562" t="s">
        <v>8</v>
      </c>
      <c r="G5" s="562" t="s">
        <v>9</v>
      </c>
      <c r="H5" s="562" t="s">
        <v>10</v>
      </c>
      <c r="I5" s="562" t="s">
        <v>11</v>
      </c>
    </row>
    <row r="6" spans="2:9" ht="15" customHeight="1">
      <c r="B6" s="675" t="s">
        <v>12</v>
      </c>
      <c r="C6" s="564" t="s">
        <v>13</v>
      </c>
      <c r="D6" s="564"/>
      <c r="E6" s="564" t="s">
        <v>14</v>
      </c>
      <c r="F6" s="564"/>
      <c r="G6" s="564"/>
      <c r="H6" s="565"/>
      <c r="I6" s="565"/>
    </row>
    <row r="7" spans="2:9">
      <c r="B7" s="676"/>
      <c r="C7" s="24"/>
      <c r="D7" s="24"/>
      <c r="E7" s="167"/>
      <c r="F7" s="24"/>
      <c r="G7" s="24"/>
      <c r="H7" s="24"/>
      <c r="I7" s="24"/>
    </row>
    <row r="8" spans="2:9">
      <c r="B8" s="676"/>
      <c r="C8" s="24"/>
      <c r="D8" s="24"/>
      <c r="E8" s="167"/>
      <c r="F8" s="24"/>
      <c r="G8" s="24"/>
      <c r="H8" s="24"/>
      <c r="I8" s="24"/>
    </row>
    <row r="9" spans="2:9" ht="15.75" customHeight="1">
      <c r="B9" s="676"/>
      <c r="C9" s="24"/>
      <c r="D9" s="24"/>
      <c r="E9" s="167"/>
      <c r="F9" s="24"/>
      <c r="G9" s="24"/>
      <c r="H9" s="24"/>
      <c r="I9" s="24"/>
    </row>
    <row r="10" spans="2:9">
      <c r="B10" s="677"/>
      <c r="C10" s="568"/>
      <c r="D10" s="568"/>
      <c r="E10" s="568"/>
      <c r="F10" s="568"/>
      <c r="G10" s="568"/>
      <c r="H10" s="568"/>
      <c r="I10" s="568"/>
    </row>
    <row r="11" spans="2:9">
      <c r="B11" s="678" t="s">
        <v>15</v>
      </c>
      <c r="C11" s="154"/>
      <c r="D11" s="570" t="s">
        <v>16</v>
      </c>
      <c r="E11" s="154"/>
      <c r="F11" s="154" t="s">
        <v>17</v>
      </c>
      <c r="G11" s="570"/>
      <c r="H11" s="571"/>
      <c r="I11" s="571"/>
    </row>
    <row r="12" spans="2:9">
      <c r="B12" s="679"/>
      <c r="C12" s="154"/>
      <c r="D12" s="24"/>
      <c r="E12" s="167"/>
      <c r="F12" s="24"/>
      <c r="G12" s="24"/>
      <c r="H12" s="24"/>
      <c r="I12" s="24"/>
    </row>
    <row r="13" spans="2:9">
      <c r="B13" s="679"/>
      <c r="C13" s="154"/>
      <c r="D13" s="154"/>
      <c r="E13" s="573"/>
      <c r="F13" s="154"/>
      <c r="G13" s="154"/>
      <c r="H13" s="154"/>
      <c r="I13" s="154"/>
    </row>
    <row r="14" spans="2:9">
      <c r="B14" s="679"/>
      <c r="C14" s="154"/>
      <c r="D14" s="154"/>
      <c r="E14" s="573"/>
      <c r="F14" s="154"/>
      <c r="G14" s="154"/>
      <c r="H14" s="154"/>
      <c r="I14" s="154"/>
    </row>
    <row r="15" spans="2:9">
      <c r="B15" s="680"/>
      <c r="C15" s="568"/>
      <c r="D15" s="568"/>
      <c r="E15" s="568"/>
      <c r="F15" s="568"/>
      <c r="G15" s="568"/>
      <c r="H15" s="568"/>
      <c r="I15" s="568"/>
    </row>
    <row r="16" spans="2:9">
      <c r="B16" s="678" t="s">
        <v>18</v>
      </c>
      <c r="C16" s="63" t="s">
        <v>19</v>
      </c>
      <c r="D16" s="63" t="s">
        <v>20</v>
      </c>
      <c r="E16" s="63" t="s">
        <v>21</v>
      </c>
      <c r="F16" s="63" t="s">
        <v>22</v>
      </c>
      <c r="G16" s="63" t="s">
        <v>23</v>
      </c>
      <c r="I16" s="63"/>
    </row>
    <row r="17" spans="2:9">
      <c r="B17" s="679"/>
      <c r="C17" s="575"/>
      <c r="D17" s="24"/>
      <c r="E17" s="63"/>
      <c r="F17" s="24"/>
      <c r="G17" s="24"/>
      <c r="H17" s="24"/>
      <c r="I17" s="24"/>
    </row>
    <row r="18" spans="2:9">
      <c r="B18" s="679"/>
      <c r="C18" s="575"/>
      <c r="D18" s="24"/>
      <c r="E18" s="167"/>
      <c r="F18" s="24"/>
      <c r="G18" s="24"/>
      <c r="H18" s="24"/>
      <c r="I18" s="24"/>
    </row>
    <row r="19" spans="2:9">
      <c r="B19" s="679"/>
      <c r="C19" s="575"/>
      <c r="D19" s="24"/>
      <c r="E19" s="167"/>
      <c r="F19" s="24"/>
      <c r="G19" s="24"/>
      <c r="H19" s="24"/>
      <c r="I19" s="24"/>
    </row>
    <row r="20" spans="2:9">
      <c r="B20" s="680"/>
      <c r="C20" s="568"/>
      <c r="D20" s="568"/>
      <c r="E20" s="576"/>
      <c r="F20" s="568"/>
      <c r="G20" s="568"/>
      <c r="H20" s="568"/>
      <c r="I20" s="568"/>
    </row>
    <row r="21" spans="2:9">
      <c r="B21" s="678" t="s">
        <v>24</v>
      </c>
      <c r="C21" s="63" t="s">
        <v>25</v>
      </c>
      <c r="D21" s="63" t="s">
        <v>26</v>
      </c>
      <c r="E21" s="63" t="s">
        <v>27</v>
      </c>
      <c r="F21" s="63" t="s">
        <v>28</v>
      </c>
      <c r="G21" s="63" t="s">
        <v>29</v>
      </c>
      <c r="H21" s="63"/>
      <c r="I21" s="63"/>
    </row>
    <row r="22" spans="2:9">
      <c r="B22" s="679"/>
      <c r="C22" s="575"/>
      <c r="D22" s="577"/>
      <c r="E22" s="49"/>
      <c r="F22" s="577"/>
      <c r="G22" s="577"/>
      <c r="H22" s="577"/>
      <c r="I22" s="577"/>
    </row>
    <row r="23" spans="2:9">
      <c r="B23" s="679"/>
      <c r="C23" s="575"/>
      <c r="D23" s="24"/>
      <c r="E23" s="167"/>
      <c r="F23" s="24"/>
      <c r="G23" s="24"/>
      <c r="H23" s="24"/>
      <c r="I23" s="24"/>
    </row>
    <row r="24" spans="2:9">
      <c r="B24" s="679"/>
      <c r="C24" s="575"/>
      <c r="D24" s="24"/>
      <c r="E24" s="167"/>
      <c r="F24" s="24"/>
      <c r="G24" s="24"/>
      <c r="H24" s="24"/>
      <c r="I24" s="24"/>
    </row>
    <row r="25" spans="2:9">
      <c r="B25" s="680"/>
      <c r="C25" s="575"/>
      <c r="D25" s="568"/>
      <c r="E25" s="576"/>
      <c r="F25" s="568"/>
      <c r="G25" s="568"/>
      <c r="H25" s="568"/>
      <c r="I25" s="568"/>
    </row>
    <row r="26" spans="2:9">
      <c r="B26" s="678" t="s">
        <v>30</v>
      </c>
      <c r="C26" s="578"/>
      <c r="D26" s="564"/>
      <c r="E26" s="564"/>
      <c r="F26" s="564"/>
      <c r="G26" s="564"/>
      <c r="H26" s="564"/>
      <c r="I26" s="564"/>
    </row>
    <row r="27" spans="2:9">
      <c r="B27" s="679"/>
      <c r="C27" s="579"/>
      <c r="D27" s="579"/>
      <c r="E27" s="580"/>
      <c r="F27" s="580"/>
      <c r="G27" s="581"/>
      <c r="H27" s="581"/>
      <c r="I27" s="581"/>
    </row>
    <row r="28" spans="2:9">
      <c r="B28" s="679"/>
      <c r="C28" s="568"/>
      <c r="E28" s="24"/>
      <c r="F28" s="568"/>
      <c r="G28" s="568"/>
      <c r="H28" s="568"/>
      <c r="I28" s="568"/>
    </row>
    <row r="29" spans="2:9">
      <c r="B29" s="681" t="s">
        <v>31</v>
      </c>
      <c r="C29" s="564"/>
      <c r="D29" s="564" t="s">
        <v>32</v>
      </c>
      <c r="E29" s="564" t="s">
        <v>33</v>
      </c>
      <c r="F29" s="583" t="s">
        <v>34</v>
      </c>
      <c r="G29" s="564" t="s">
        <v>35</v>
      </c>
      <c r="H29" s="564"/>
      <c r="I29" s="564"/>
    </row>
    <row r="30" spans="2:9">
      <c r="B30" s="682"/>
      <c r="C30" s="568"/>
      <c r="D30" s="585"/>
      <c r="E30" s="568"/>
      <c r="F30" s="568"/>
      <c r="G30" s="564" t="s">
        <v>36</v>
      </c>
      <c r="H30" s="568"/>
      <c r="I30" s="568"/>
    </row>
    <row r="31" spans="2:9">
      <c r="B31" s="681" t="s">
        <v>37</v>
      </c>
      <c r="C31" s="24"/>
      <c r="D31" s="580"/>
      <c r="E31" s="580"/>
      <c r="F31" s="24"/>
      <c r="G31" s="24"/>
      <c r="H31" s="24"/>
      <c r="I31" s="24"/>
    </row>
    <row r="32" spans="2:9">
      <c r="B32" s="682"/>
      <c r="C32" s="568"/>
      <c r="D32" s="568"/>
      <c r="E32" s="586"/>
      <c r="F32" s="568"/>
      <c r="G32" s="568"/>
      <c r="H32" s="568"/>
      <c r="I32" s="568"/>
    </row>
    <row r="35" spans="3:5" ht="18.5">
      <c r="C35" s="649" t="s">
        <v>38</v>
      </c>
      <c r="D35" s="650"/>
      <c r="E35" s="651"/>
    </row>
    <row r="36" spans="3:5">
      <c r="C36" s="587" t="s">
        <v>39</v>
      </c>
      <c r="D36" s="588" t="s">
        <v>40</v>
      </c>
      <c r="E36" s="589" t="s">
        <v>41</v>
      </c>
    </row>
    <row r="37" spans="3:5">
      <c r="C37" s="590" t="s">
        <v>42</v>
      </c>
      <c r="D37" s="47" t="s">
        <v>43</v>
      </c>
      <c r="E37" s="591"/>
    </row>
    <row r="38" spans="3:5">
      <c r="C38" s="592" t="s">
        <v>44</v>
      </c>
      <c r="D38" s="63" t="s">
        <v>43</v>
      </c>
      <c r="E38" s="593"/>
    </row>
    <row r="39" spans="3:5">
      <c r="C39" s="592" t="s">
        <v>45</v>
      </c>
      <c r="D39" s="63" t="s">
        <v>43</v>
      </c>
      <c r="E39" s="593"/>
    </row>
    <row r="40" spans="3:5">
      <c r="C40" s="592" t="s">
        <v>46</v>
      </c>
      <c r="D40" s="22" t="s">
        <v>47</v>
      </c>
      <c r="E40" s="593"/>
    </row>
    <row r="41" spans="3:5">
      <c r="C41" s="592" t="s">
        <v>48</v>
      </c>
      <c r="D41" s="63" t="s">
        <v>43</v>
      </c>
      <c r="E41" s="593"/>
    </row>
    <row r="42" spans="3:5">
      <c r="C42" s="592" t="s">
        <v>49</v>
      </c>
      <c r="D42" s="63" t="s">
        <v>50</v>
      </c>
      <c r="E42" s="593"/>
    </row>
    <row r="43" spans="3:5">
      <c r="C43" s="592" t="s">
        <v>51</v>
      </c>
      <c r="D43" s="22" t="s">
        <v>47</v>
      </c>
      <c r="E43" s="593"/>
    </row>
    <row r="44" spans="3:5">
      <c r="C44" s="592" t="s">
        <v>52</v>
      </c>
      <c r="D44" s="63" t="s">
        <v>43</v>
      </c>
      <c r="E44" s="593"/>
    </row>
    <row r="45" spans="3:5">
      <c r="C45" s="592" t="s">
        <v>53</v>
      </c>
      <c r="D45" s="63" t="s">
        <v>43</v>
      </c>
      <c r="E45" s="593"/>
    </row>
    <row r="46" spans="3:5">
      <c r="C46" s="592"/>
      <c r="D46" s="63"/>
      <c r="E46" s="593"/>
    </row>
    <row r="47" spans="3:5">
      <c r="C47" s="592"/>
      <c r="D47" s="63"/>
      <c r="E47" s="593"/>
    </row>
    <row r="48" spans="3:5">
      <c r="C48" s="594"/>
      <c r="D48" s="22"/>
      <c r="E48" s="593"/>
    </row>
    <row r="49" spans="2:9">
      <c r="C49" s="594"/>
      <c r="D49" s="595"/>
      <c r="E49" s="593"/>
    </row>
    <row r="50" spans="2:9">
      <c r="C50" s="596"/>
      <c r="D50" s="597"/>
      <c r="E50" s="598"/>
    </row>
    <row r="51" spans="2:9">
      <c r="C51" s="599"/>
      <c r="D51" s="600"/>
      <c r="E51" s="9"/>
    </row>
    <row r="53" spans="2:9">
      <c r="B53" s="601" t="s">
        <v>54</v>
      </c>
      <c r="C53" s="588" t="s">
        <v>55</v>
      </c>
      <c r="D53" s="588" t="s">
        <v>54</v>
      </c>
      <c r="E53" s="589" t="s">
        <v>55</v>
      </c>
    </row>
    <row r="54" spans="2:9">
      <c r="B54" s="602" t="s">
        <v>19</v>
      </c>
      <c r="C54" s="603" t="s">
        <v>43</v>
      </c>
      <c r="D54" s="604" t="s">
        <v>25</v>
      </c>
      <c r="E54" s="604" t="s">
        <v>43</v>
      </c>
    </row>
    <row r="55" spans="2:9">
      <c r="B55" s="605" t="s">
        <v>20</v>
      </c>
      <c r="C55" s="603" t="s">
        <v>43</v>
      </c>
      <c r="D55" s="606" t="s">
        <v>26</v>
      </c>
      <c r="E55" s="604" t="s">
        <v>43</v>
      </c>
    </row>
    <row r="56" spans="2:9">
      <c r="B56" s="605" t="s">
        <v>21</v>
      </c>
      <c r="C56" s="603" t="s">
        <v>43</v>
      </c>
      <c r="D56" s="606" t="s">
        <v>27</v>
      </c>
      <c r="E56" s="604" t="s">
        <v>43</v>
      </c>
    </row>
    <row r="57" spans="2:9">
      <c r="B57" s="605" t="s">
        <v>23</v>
      </c>
      <c r="C57" s="603" t="s">
        <v>56</v>
      </c>
      <c r="D57" s="606" t="s">
        <v>28</v>
      </c>
      <c r="E57" s="604" t="s">
        <v>43</v>
      </c>
    </row>
    <row r="58" spans="2:9">
      <c r="B58" s="607" t="s">
        <v>22</v>
      </c>
      <c r="C58" s="608" t="s">
        <v>56</v>
      </c>
      <c r="D58" s="609" t="s">
        <v>29</v>
      </c>
      <c r="E58" s="604" t="s">
        <v>43</v>
      </c>
    </row>
    <row r="60" spans="2:9" s="1" customFormat="1"/>
    <row r="61" spans="2:9">
      <c r="C61" s="322" t="s">
        <v>1</v>
      </c>
      <c r="D61" s="652" t="s">
        <v>57</v>
      </c>
      <c r="E61" s="652"/>
    </row>
    <row r="63" spans="2:9">
      <c r="C63" s="559" t="s">
        <v>58</v>
      </c>
      <c r="D63" s="559" t="s">
        <v>59</v>
      </c>
      <c r="E63" s="559" t="s">
        <v>60</v>
      </c>
      <c r="F63" s="559" t="s">
        <v>61</v>
      </c>
      <c r="G63" s="559" t="s">
        <v>62</v>
      </c>
      <c r="H63" s="559" t="s">
        <v>63</v>
      </c>
      <c r="I63" s="559" t="s">
        <v>64</v>
      </c>
    </row>
    <row r="64" spans="2:9">
      <c r="B64" s="560" t="s">
        <v>4</v>
      </c>
      <c r="C64" s="561" t="s">
        <v>5</v>
      </c>
      <c r="D64" s="561" t="s">
        <v>6</v>
      </c>
      <c r="E64" s="561" t="s">
        <v>7</v>
      </c>
      <c r="F64" s="562" t="s">
        <v>8</v>
      </c>
      <c r="G64" s="562" t="s">
        <v>9</v>
      </c>
      <c r="H64" s="562" t="s">
        <v>10</v>
      </c>
      <c r="I64" s="562" t="s">
        <v>11</v>
      </c>
    </row>
    <row r="65" spans="2:9">
      <c r="B65" s="675" t="s">
        <v>12</v>
      </c>
      <c r="C65" s="683" t="s">
        <v>65</v>
      </c>
      <c r="D65" s="564"/>
      <c r="E65" s="564"/>
      <c r="F65" s="564"/>
      <c r="G65" s="686" t="s">
        <v>66</v>
      </c>
      <c r="H65" s="565"/>
      <c r="I65" s="565"/>
    </row>
    <row r="66" spans="2:9">
      <c r="B66" s="676"/>
      <c r="C66" s="684"/>
      <c r="D66" s="24"/>
      <c r="E66" s="167"/>
      <c r="F66" s="24"/>
      <c r="G66" s="687"/>
      <c r="H66" s="24"/>
      <c r="I66" s="24"/>
    </row>
    <row r="67" spans="2:9">
      <c r="B67" s="676"/>
      <c r="C67" s="684"/>
      <c r="D67" s="24"/>
      <c r="E67" s="167"/>
      <c r="F67" s="24"/>
      <c r="G67" s="687"/>
      <c r="H67" s="24"/>
      <c r="I67" s="24"/>
    </row>
    <row r="68" spans="2:9">
      <c r="B68" s="676"/>
      <c r="C68" s="684"/>
      <c r="D68" s="24"/>
      <c r="E68" s="167"/>
      <c r="F68" s="24"/>
      <c r="G68" s="687"/>
      <c r="H68" s="24"/>
      <c r="I68" s="24"/>
    </row>
    <row r="69" spans="2:9">
      <c r="B69" s="677"/>
      <c r="C69" s="684"/>
      <c r="D69" s="568"/>
      <c r="E69" s="568"/>
      <c r="F69" s="568"/>
      <c r="G69" s="687"/>
      <c r="H69" s="568"/>
      <c r="I69" s="568"/>
    </row>
    <row r="70" spans="2:9">
      <c r="B70" s="678" t="s">
        <v>15</v>
      </c>
      <c r="C70" s="684"/>
      <c r="D70" s="570"/>
      <c r="E70" s="154"/>
      <c r="F70" s="154"/>
      <c r="G70" s="687"/>
      <c r="H70" s="571"/>
      <c r="I70" s="571"/>
    </row>
    <row r="71" spans="2:9">
      <c r="B71" s="679"/>
      <c r="C71" s="684"/>
      <c r="D71" s="24"/>
      <c r="E71" s="167"/>
      <c r="F71" s="24"/>
      <c r="G71" s="687"/>
      <c r="H71" s="24"/>
      <c r="I71" s="24"/>
    </row>
    <row r="72" spans="2:9">
      <c r="B72" s="679"/>
      <c r="C72" s="684"/>
      <c r="D72" s="154"/>
      <c r="E72" s="573"/>
      <c r="F72" s="154"/>
      <c r="G72" s="687"/>
      <c r="H72" s="154"/>
      <c r="I72" s="154"/>
    </row>
    <row r="73" spans="2:9">
      <c r="B73" s="679"/>
      <c r="C73" s="684"/>
      <c r="D73" s="154"/>
      <c r="E73" s="573"/>
      <c r="F73" s="154"/>
      <c r="G73" s="687"/>
      <c r="H73" s="154"/>
      <c r="I73" s="154"/>
    </row>
    <row r="74" spans="2:9">
      <c r="B74" s="680"/>
      <c r="C74" s="684"/>
      <c r="D74" s="568"/>
      <c r="E74" s="568"/>
      <c r="F74" s="568"/>
      <c r="G74" s="687"/>
      <c r="H74" s="568"/>
      <c r="I74" s="568"/>
    </row>
    <row r="75" spans="2:9">
      <c r="B75" s="678" t="s">
        <v>18</v>
      </c>
      <c r="C75" s="684"/>
      <c r="D75" s="63" t="s">
        <v>21</v>
      </c>
      <c r="E75" s="63" t="s">
        <v>23</v>
      </c>
      <c r="F75" s="63" t="s">
        <v>67</v>
      </c>
      <c r="G75" s="687"/>
      <c r="I75" s="63"/>
    </row>
    <row r="76" spans="2:9">
      <c r="B76" s="679"/>
      <c r="C76" s="684"/>
      <c r="D76" s="24"/>
      <c r="E76" s="63"/>
      <c r="F76" s="24"/>
      <c r="G76" s="687"/>
      <c r="H76" s="24"/>
      <c r="I76" s="24"/>
    </row>
    <row r="77" spans="2:9">
      <c r="B77" s="679"/>
      <c r="C77" s="684"/>
      <c r="D77" s="24"/>
      <c r="E77" s="167"/>
      <c r="F77" s="24"/>
      <c r="G77" s="687"/>
      <c r="H77" s="24"/>
      <c r="I77" s="24"/>
    </row>
    <row r="78" spans="2:9">
      <c r="B78" s="679"/>
      <c r="C78" s="684"/>
      <c r="D78" s="24"/>
      <c r="E78" s="167"/>
      <c r="F78" s="24"/>
      <c r="G78" s="687"/>
      <c r="H78" s="24"/>
      <c r="I78" s="24"/>
    </row>
    <row r="79" spans="2:9">
      <c r="B79" s="680"/>
      <c r="C79" s="684"/>
      <c r="D79" s="568"/>
      <c r="E79" s="576"/>
      <c r="F79" s="568"/>
      <c r="G79" s="687"/>
      <c r="H79" s="568"/>
      <c r="I79" s="568"/>
    </row>
    <row r="80" spans="2:9">
      <c r="B80" s="678" t="s">
        <v>24</v>
      </c>
      <c r="C80" s="684"/>
      <c r="D80" s="63" t="s">
        <v>26</v>
      </c>
      <c r="E80" s="63" t="s">
        <v>27</v>
      </c>
      <c r="F80" s="63" t="s">
        <v>28</v>
      </c>
      <c r="G80" s="687"/>
      <c r="H80" s="63"/>
      <c r="I80" s="63"/>
    </row>
    <row r="81" spans="2:9">
      <c r="B81" s="679"/>
      <c r="C81" s="684"/>
      <c r="D81" s="577"/>
      <c r="E81" s="49"/>
      <c r="F81" s="577"/>
      <c r="G81" s="687"/>
      <c r="H81" s="577"/>
      <c r="I81" s="577"/>
    </row>
    <row r="82" spans="2:9">
      <c r="B82" s="679"/>
      <c r="C82" s="684"/>
      <c r="D82" s="24"/>
      <c r="E82" s="167"/>
      <c r="F82" s="24"/>
      <c r="G82" s="687"/>
      <c r="H82" s="24"/>
      <c r="I82" s="24"/>
    </row>
    <row r="83" spans="2:9">
      <c r="B83" s="679"/>
      <c r="C83" s="684"/>
      <c r="D83" s="24"/>
      <c r="E83" s="167"/>
      <c r="F83" s="24"/>
      <c r="G83" s="687"/>
      <c r="H83" s="24"/>
      <c r="I83" s="24"/>
    </row>
    <row r="84" spans="2:9">
      <c r="B84" s="680"/>
      <c r="C84" s="684"/>
      <c r="D84" s="568"/>
      <c r="E84" s="576"/>
      <c r="F84" s="568"/>
      <c r="G84" s="687"/>
      <c r="H84" s="568"/>
      <c r="I84" s="568"/>
    </row>
    <row r="85" spans="2:9">
      <c r="B85" s="678" t="s">
        <v>30</v>
      </c>
      <c r="C85" s="684"/>
      <c r="D85" s="564"/>
      <c r="E85" s="564"/>
      <c r="F85" s="564"/>
      <c r="G85" s="687"/>
      <c r="H85" s="564"/>
      <c r="I85" s="564"/>
    </row>
    <row r="86" spans="2:9">
      <c r="B86" s="679"/>
      <c r="C86" s="684"/>
      <c r="D86" s="579"/>
      <c r="E86" s="580"/>
      <c r="F86" s="580"/>
      <c r="G86" s="687"/>
      <c r="H86" s="581"/>
      <c r="I86" s="581"/>
    </row>
    <row r="87" spans="2:9">
      <c r="B87" s="679"/>
      <c r="C87" s="684"/>
      <c r="E87" s="24"/>
      <c r="F87" s="568"/>
      <c r="G87" s="687"/>
      <c r="H87" s="568"/>
      <c r="I87" s="568"/>
    </row>
    <row r="88" spans="2:9">
      <c r="B88" s="681" t="s">
        <v>31</v>
      </c>
      <c r="C88" s="684"/>
      <c r="D88" s="611" t="s">
        <v>68</v>
      </c>
      <c r="E88" s="564"/>
      <c r="F88" s="583"/>
      <c r="G88" s="687"/>
      <c r="H88" s="564"/>
      <c r="I88" s="564"/>
    </row>
    <row r="89" spans="2:9">
      <c r="B89" s="682"/>
      <c r="C89" s="684"/>
      <c r="D89" s="585"/>
      <c r="E89" s="568"/>
      <c r="F89" s="568"/>
      <c r="G89" s="687"/>
      <c r="H89" s="568"/>
      <c r="I89" s="568"/>
    </row>
    <row r="90" spans="2:9">
      <c r="B90" s="681" t="s">
        <v>37</v>
      </c>
      <c r="C90" s="684"/>
      <c r="D90" s="580"/>
      <c r="E90" s="580"/>
      <c r="F90" s="24"/>
      <c r="G90" s="687"/>
      <c r="H90" s="24"/>
      <c r="I90" s="24"/>
    </row>
    <row r="91" spans="2:9">
      <c r="B91" s="682"/>
      <c r="C91" s="685"/>
      <c r="D91" s="568"/>
      <c r="E91" s="586"/>
      <c r="F91" s="568"/>
      <c r="G91" s="688"/>
      <c r="H91" s="568"/>
      <c r="I91" s="568"/>
    </row>
    <row r="94" spans="2:9" ht="18.5">
      <c r="D94" s="653" t="s">
        <v>38</v>
      </c>
      <c r="E94" s="654"/>
      <c r="F94" s="655"/>
    </row>
    <row r="95" spans="2:9">
      <c r="D95" s="587" t="s">
        <v>39</v>
      </c>
      <c r="E95" s="588" t="s">
        <v>40</v>
      </c>
      <c r="F95" s="589" t="s">
        <v>41</v>
      </c>
    </row>
    <row r="96" spans="2:9">
      <c r="D96" s="590" t="s">
        <v>68</v>
      </c>
      <c r="E96" s="47" t="s">
        <v>43</v>
      </c>
      <c r="F96" s="591" t="s">
        <v>69</v>
      </c>
    </row>
    <row r="97" spans="1:10">
      <c r="D97" s="592"/>
      <c r="E97" s="63"/>
      <c r="F97" s="593"/>
    </row>
    <row r="98" spans="1:10">
      <c r="D98" s="594"/>
      <c r="E98" s="595"/>
      <c r="F98" s="593"/>
    </row>
    <row r="99" spans="1:10">
      <c r="D99" s="596"/>
      <c r="E99" s="597"/>
      <c r="F99" s="598"/>
    </row>
    <row r="100" spans="1:10">
      <c r="C100" s="599"/>
      <c r="D100" s="600"/>
      <c r="E100" s="9"/>
    </row>
    <row r="103" spans="1:10" ht="29">
      <c r="A103" s="612" t="s">
        <v>70</v>
      </c>
      <c r="B103" s="612" t="s">
        <v>71</v>
      </c>
      <c r="C103" s="612" t="s">
        <v>54</v>
      </c>
      <c r="D103" s="613" t="s">
        <v>72</v>
      </c>
      <c r="E103" s="612" t="s">
        <v>73</v>
      </c>
      <c r="F103" s="612" t="s">
        <v>74</v>
      </c>
      <c r="G103" s="612" t="s">
        <v>54</v>
      </c>
      <c r="H103" s="613" t="s">
        <v>72</v>
      </c>
      <c r="I103" s="612" t="s">
        <v>73</v>
      </c>
      <c r="J103" s="612" t="s">
        <v>74</v>
      </c>
    </row>
    <row r="104" spans="1:10">
      <c r="A104" s="614">
        <v>44642</v>
      </c>
      <c r="B104" s="614" t="s">
        <v>6</v>
      </c>
      <c r="C104" s="606" t="s">
        <v>21</v>
      </c>
      <c r="D104" s="606" t="s">
        <v>43</v>
      </c>
      <c r="E104" s="606" t="s">
        <v>75</v>
      </c>
      <c r="F104" s="606" t="s">
        <v>76</v>
      </c>
      <c r="G104" s="606" t="s">
        <v>26</v>
      </c>
      <c r="H104" s="606" t="s">
        <v>43</v>
      </c>
      <c r="I104" s="606" t="s">
        <v>75</v>
      </c>
      <c r="J104" s="606" t="s">
        <v>76</v>
      </c>
    </row>
    <row r="105" spans="1:10">
      <c r="A105" s="614">
        <v>44643</v>
      </c>
      <c r="B105" s="614" t="s">
        <v>7</v>
      </c>
      <c r="C105" s="606" t="s">
        <v>23</v>
      </c>
      <c r="D105" s="606" t="s">
        <v>43</v>
      </c>
      <c r="E105" s="615">
        <v>0.35416666666666702</v>
      </c>
      <c r="F105" s="606" t="s">
        <v>76</v>
      </c>
      <c r="G105" s="606" t="s">
        <v>27</v>
      </c>
      <c r="H105" s="606" t="s">
        <v>43</v>
      </c>
      <c r="I105" s="615">
        <v>0.39583333333333298</v>
      </c>
      <c r="J105" s="606" t="s">
        <v>76</v>
      </c>
    </row>
    <row r="106" spans="1:10">
      <c r="A106" s="614">
        <v>44644</v>
      </c>
      <c r="B106" s="614" t="s">
        <v>8</v>
      </c>
      <c r="C106" s="606" t="s">
        <v>67</v>
      </c>
      <c r="D106" s="606" t="s">
        <v>77</v>
      </c>
      <c r="E106" s="616"/>
      <c r="F106" s="616"/>
      <c r="G106" s="606" t="s">
        <v>28</v>
      </c>
      <c r="H106" s="606" t="s">
        <v>78</v>
      </c>
      <c r="I106" s="616"/>
      <c r="J106" s="616"/>
    </row>
    <row r="108" spans="1:10" s="557" customFormat="1"/>
    <row r="109" spans="1:10" s="557" customFormat="1"/>
    <row r="110" spans="1:10">
      <c r="D110" s="322" t="s">
        <v>1</v>
      </c>
      <c r="E110" s="610" t="s">
        <v>79</v>
      </c>
      <c r="F110" s="610"/>
    </row>
    <row r="112" spans="1:10">
      <c r="C112" s="559" t="s">
        <v>80</v>
      </c>
      <c r="D112" s="559" t="s">
        <v>81</v>
      </c>
      <c r="E112" s="559" t="s">
        <v>82</v>
      </c>
      <c r="F112" s="559" t="s">
        <v>83</v>
      </c>
      <c r="G112" s="559">
        <v>44565</v>
      </c>
      <c r="H112" s="559">
        <v>44596</v>
      </c>
      <c r="I112" s="559">
        <v>44624</v>
      </c>
    </row>
    <row r="113" spans="2:9">
      <c r="B113" s="560" t="s">
        <v>4</v>
      </c>
      <c r="C113" s="561" t="s">
        <v>5</v>
      </c>
      <c r="D113" s="561" t="s">
        <v>6</v>
      </c>
      <c r="E113" s="561" t="s">
        <v>7</v>
      </c>
      <c r="F113" s="562" t="s">
        <v>8</v>
      </c>
      <c r="G113" s="562" t="s">
        <v>9</v>
      </c>
      <c r="H113" s="562" t="s">
        <v>10</v>
      </c>
      <c r="I113" s="562" t="s">
        <v>11</v>
      </c>
    </row>
    <row r="114" spans="2:9">
      <c r="B114" s="563" t="s">
        <v>12</v>
      </c>
      <c r="C114" s="564" t="s">
        <v>84</v>
      </c>
      <c r="D114" s="564"/>
      <c r="E114" s="564" t="s">
        <v>85</v>
      </c>
      <c r="F114" s="564"/>
      <c r="G114" s="564"/>
      <c r="H114" s="565"/>
      <c r="I114" s="565"/>
    </row>
    <row r="115" spans="2:9">
      <c r="B115" s="566"/>
      <c r="C115" s="24"/>
      <c r="D115" s="24"/>
      <c r="E115" s="167"/>
      <c r="F115" s="24"/>
      <c r="G115" s="24"/>
      <c r="H115" s="24"/>
      <c r="I115" s="24"/>
    </row>
    <row r="116" spans="2:9">
      <c r="B116" s="566"/>
      <c r="C116" s="24"/>
      <c r="D116" s="24"/>
      <c r="E116" s="167"/>
      <c r="F116" s="24"/>
      <c r="G116" s="24"/>
      <c r="H116" s="24"/>
      <c r="I116" s="24"/>
    </row>
    <row r="117" spans="2:9">
      <c r="B117" s="566"/>
      <c r="C117" s="24"/>
      <c r="D117" s="24"/>
      <c r="E117" s="167"/>
      <c r="F117" s="24"/>
      <c r="G117" s="24"/>
      <c r="H117" s="24"/>
      <c r="I117" s="24"/>
    </row>
    <row r="118" spans="2:9">
      <c r="B118" s="567"/>
      <c r="C118" s="568"/>
      <c r="D118" s="568"/>
      <c r="E118" s="568"/>
      <c r="F118" s="568"/>
      <c r="G118" s="568"/>
      <c r="H118" s="568"/>
      <c r="I118" s="568"/>
    </row>
    <row r="119" spans="2:9">
      <c r="B119" s="569" t="s">
        <v>15</v>
      </c>
      <c r="C119" s="154"/>
      <c r="D119" s="570"/>
      <c r="E119" s="154"/>
      <c r="F119" s="154" t="s">
        <v>86</v>
      </c>
      <c r="G119" s="570"/>
      <c r="H119" s="571"/>
      <c r="I119" s="571"/>
    </row>
    <row r="120" spans="2:9">
      <c r="B120" s="572"/>
      <c r="C120" s="154"/>
      <c r="D120" s="24"/>
      <c r="E120" s="167"/>
      <c r="F120" s="24"/>
      <c r="G120" s="24"/>
      <c r="H120" s="24"/>
      <c r="I120" s="24"/>
    </row>
    <row r="121" spans="2:9">
      <c r="B121" s="572"/>
      <c r="C121" s="154"/>
      <c r="D121" s="154"/>
      <c r="E121" s="573"/>
      <c r="F121" s="154"/>
      <c r="G121" s="154"/>
      <c r="H121" s="154"/>
      <c r="I121" s="154"/>
    </row>
    <row r="122" spans="2:9">
      <c r="B122" s="572"/>
      <c r="C122" s="154"/>
      <c r="D122" s="154"/>
      <c r="E122" s="573"/>
      <c r="F122" s="154"/>
      <c r="G122" s="154"/>
      <c r="H122" s="154"/>
      <c r="I122" s="154"/>
    </row>
    <row r="123" spans="2:9">
      <c r="B123" s="574"/>
      <c r="C123" s="568"/>
      <c r="D123" s="568"/>
      <c r="E123" s="568"/>
      <c r="F123" s="568"/>
      <c r="G123" s="568"/>
      <c r="H123" s="568"/>
      <c r="I123" s="568"/>
    </row>
    <row r="124" spans="2:9">
      <c r="B124" s="569" t="s">
        <v>18</v>
      </c>
      <c r="C124" s="63" t="s">
        <v>87</v>
      </c>
      <c r="D124" s="63" t="s">
        <v>19</v>
      </c>
      <c r="E124" s="63" t="s">
        <v>20</v>
      </c>
      <c r="F124" s="63" t="s">
        <v>21</v>
      </c>
      <c r="G124" s="63" t="s">
        <v>22</v>
      </c>
    </row>
    <row r="125" spans="2:9">
      <c r="B125" s="572"/>
      <c r="C125" s="575"/>
      <c r="D125" s="24"/>
      <c r="E125" s="63"/>
      <c r="F125" s="24"/>
      <c r="G125" s="24"/>
      <c r="H125" s="24"/>
      <c r="I125" s="24"/>
    </row>
    <row r="126" spans="2:9">
      <c r="B126" s="572"/>
      <c r="C126" s="575"/>
      <c r="D126" s="24"/>
      <c r="E126" s="167"/>
      <c r="F126" s="24"/>
      <c r="G126" s="24"/>
      <c r="H126" s="24"/>
      <c r="I126" s="24"/>
    </row>
    <row r="127" spans="2:9">
      <c r="B127" s="572"/>
      <c r="C127" s="575"/>
      <c r="D127" s="24"/>
      <c r="E127" s="167"/>
      <c r="F127" s="24"/>
      <c r="G127" s="24"/>
      <c r="H127" s="24"/>
      <c r="I127" s="24"/>
    </row>
    <row r="128" spans="2:9">
      <c r="B128" s="574"/>
      <c r="C128" s="568"/>
      <c r="D128" s="568"/>
      <c r="E128" s="576"/>
      <c r="F128" s="568"/>
      <c r="G128" s="568"/>
      <c r="H128" s="568"/>
      <c r="I128" s="568"/>
    </row>
    <row r="129" spans="2:9">
      <c r="B129" s="569" t="s">
        <v>24</v>
      </c>
      <c r="C129" s="63" t="s">
        <v>29</v>
      </c>
      <c r="D129" s="63" t="s">
        <v>88</v>
      </c>
      <c r="E129" s="63" t="s">
        <v>89</v>
      </c>
      <c r="F129" s="63" t="s">
        <v>90</v>
      </c>
      <c r="G129" s="63" t="s">
        <v>27</v>
      </c>
      <c r="H129" s="63"/>
      <c r="I129" s="63"/>
    </row>
    <row r="130" spans="2:9">
      <c r="B130" s="572"/>
      <c r="C130" s="575"/>
      <c r="D130" s="577"/>
      <c r="E130" s="49"/>
      <c r="F130" s="577"/>
      <c r="G130" s="577"/>
      <c r="H130" s="577"/>
      <c r="I130" s="577"/>
    </row>
    <row r="131" spans="2:9">
      <c r="B131" s="572"/>
      <c r="C131" s="575"/>
      <c r="D131" s="24"/>
      <c r="E131" s="167"/>
      <c r="F131" s="24"/>
      <c r="G131" s="24"/>
      <c r="H131" s="24"/>
      <c r="I131" s="24"/>
    </row>
    <row r="132" spans="2:9">
      <c r="B132" s="572"/>
      <c r="C132" s="575"/>
      <c r="D132" s="24"/>
      <c r="E132" s="167"/>
      <c r="F132" s="24"/>
      <c r="G132" s="24"/>
      <c r="H132" s="24"/>
      <c r="I132" s="24"/>
    </row>
    <row r="133" spans="2:9">
      <c r="B133" s="574"/>
      <c r="C133" s="575"/>
      <c r="D133" s="568"/>
      <c r="E133" s="576"/>
      <c r="F133" s="568"/>
      <c r="G133" s="568"/>
      <c r="H133" s="568"/>
      <c r="I133" s="568"/>
    </row>
    <row r="134" spans="2:9">
      <c r="B134" s="569" t="s">
        <v>30</v>
      </c>
      <c r="C134" s="578"/>
      <c r="D134" s="564" t="s">
        <v>91</v>
      </c>
      <c r="E134" s="564"/>
      <c r="F134" s="564"/>
      <c r="G134" s="564"/>
      <c r="H134" s="564"/>
      <c r="I134" s="564"/>
    </row>
    <row r="135" spans="2:9">
      <c r="B135" s="572"/>
      <c r="C135" s="579"/>
      <c r="D135" s="579"/>
      <c r="E135" s="580"/>
      <c r="F135" s="580"/>
      <c r="G135" s="581"/>
      <c r="H135" s="581"/>
      <c r="I135" s="581"/>
    </row>
    <row r="136" spans="2:9">
      <c r="B136" s="572"/>
      <c r="C136" s="568"/>
      <c r="E136" s="24"/>
      <c r="F136" s="568"/>
      <c r="G136" s="568"/>
      <c r="H136" s="568"/>
      <c r="I136" s="568"/>
    </row>
    <row r="137" spans="2:9">
      <c r="B137" s="582" t="s">
        <v>31</v>
      </c>
      <c r="C137" s="564" t="s">
        <v>92</v>
      </c>
      <c r="D137" s="564" t="s">
        <v>93</v>
      </c>
      <c r="E137" s="564" t="s">
        <v>94</v>
      </c>
      <c r="F137" s="583" t="s">
        <v>95</v>
      </c>
      <c r="G137" s="564" t="s">
        <v>96</v>
      </c>
      <c r="H137" s="564"/>
      <c r="I137" s="564"/>
    </row>
    <row r="138" spans="2:9">
      <c r="B138" s="584"/>
      <c r="C138" s="568"/>
      <c r="D138" s="585"/>
      <c r="E138" s="568"/>
      <c r="F138" s="568"/>
      <c r="G138" s="568"/>
      <c r="H138" s="568"/>
      <c r="I138" s="568"/>
    </row>
    <row r="139" spans="2:9">
      <c r="B139" s="582" t="s">
        <v>37</v>
      </c>
      <c r="C139" s="24"/>
      <c r="D139" s="580"/>
      <c r="E139" s="580"/>
      <c r="F139" s="24"/>
      <c r="G139" s="24" t="s">
        <v>97</v>
      </c>
      <c r="H139" s="24"/>
      <c r="I139" s="24"/>
    </row>
    <row r="140" spans="2:9">
      <c r="B140" s="584"/>
      <c r="C140" s="568"/>
      <c r="D140" s="568"/>
      <c r="E140" s="586"/>
      <c r="F140" s="568"/>
      <c r="G140" s="568"/>
      <c r="H140" s="568"/>
      <c r="I140" s="568"/>
    </row>
    <row r="143" spans="2:9" ht="18.5">
      <c r="C143" s="649" t="s">
        <v>38</v>
      </c>
      <c r="D143" s="650"/>
      <c r="E143" s="651"/>
    </row>
    <row r="144" spans="2:9">
      <c r="C144" s="587" t="s">
        <v>39</v>
      </c>
      <c r="D144" s="588" t="s">
        <v>40</v>
      </c>
      <c r="E144" s="589" t="s">
        <v>41</v>
      </c>
    </row>
    <row r="145" spans="3:5">
      <c r="C145" s="590" t="s">
        <v>98</v>
      </c>
      <c r="D145" s="47" t="s">
        <v>43</v>
      </c>
      <c r="E145" s="591" t="s">
        <v>99</v>
      </c>
    </row>
    <row r="146" spans="3:5">
      <c r="C146" s="590" t="s">
        <v>100</v>
      </c>
      <c r="D146" s="47" t="s">
        <v>43</v>
      </c>
      <c r="E146" s="591">
        <v>44565</v>
      </c>
    </row>
    <row r="147" spans="3:5">
      <c r="C147" s="592" t="s">
        <v>101</v>
      </c>
      <c r="D147" s="63" t="s">
        <v>43</v>
      </c>
      <c r="E147" s="593" t="s">
        <v>99</v>
      </c>
    </row>
    <row r="148" spans="3:5">
      <c r="C148" s="592" t="s">
        <v>102</v>
      </c>
      <c r="D148" s="63" t="s">
        <v>43</v>
      </c>
      <c r="E148" s="593" t="s">
        <v>103</v>
      </c>
    </row>
    <row r="149" spans="3:5">
      <c r="C149" s="592" t="s">
        <v>104</v>
      </c>
      <c r="D149" s="63" t="s">
        <v>43</v>
      </c>
      <c r="E149" s="593" t="s">
        <v>105</v>
      </c>
    </row>
    <row r="150" spans="3:5">
      <c r="C150" s="592" t="s">
        <v>106</v>
      </c>
      <c r="D150" s="63" t="s">
        <v>43</v>
      </c>
      <c r="E150" s="593" t="s">
        <v>107</v>
      </c>
    </row>
    <row r="151" spans="3:5">
      <c r="C151" s="592" t="s">
        <v>108</v>
      </c>
      <c r="D151" s="63" t="s">
        <v>43</v>
      </c>
      <c r="E151" s="593">
        <v>44596</v>
      </c>
    </row>
    <row r="152" spans="3:5">
      <c r="C152" s="592" t="s">
        <v>109</v>
      </c>
      <c r="D152" s="63" t="s">
        <v>43</v>
      </c>
      <c r="E152" s="593">
        <v>44565</v>
      </c>
    </row>
    <row r="153" spans="3:5">
      <c r="C153" s="592" t="s">
        <v>110</v>
      </c>
      <c r="D153" s="63" t="s">
        <v>43</v>
      </c>
      <c r="E153" s="593">
        <v>44624</v>
      </c>
    </row>
    <row r="154" spans="3:5">
      <c r="C154" s="592"/>
      <c r="D154" s="63"/>
      <c r="E154" s="593"/>
    </row>
    <row r="155" spans="3:5">
      <c r="C155" s="592"/>
      <c r="D155" s="63"/>
      <c r="E155" s="593"/>
    </row>
    <row r="156" spans="3:5">
      <c r="C156" s="592"/>
      <c r="D156" s="63"/>
      <c r="E156" s="593"/>
    </row>
    <row r="157" spans="3:5">
      <c r="C157" s="594"/>
      <c r="D157" s="22"/>
      <c r="E157" s="593"/>
    </row>
    <row r="158" spans="3:5">
      <c r="C158" s="594"/>
      <c r="D158" s="595"/>
      <c r="E158" s="593"/>
    </row>
    <row r="159" spans="3:5">
      <c r="C159" s="596"/>
      <c r="D159" s="597"/>
      <c r="E159" s="598"/>
    </row>
    <row r="162" spans="1:11" ht="29">
      <c r="A162" s="612" t="s">
        <v>70</v>
      </c>
      <c r="B162" s="612" t="s">
        <v>71</v>
      </c>
      <c r="C162" s="612" t="s">
        <v>54</v>
      </c>
      <c r="D162" s="613" t="s">
        <v>72</v>
      </c>
      <c r="E162" s="612" t="s">
        <v>73</v>
      </c>
      <c r="F162" s="612" t="s">
        <v>74</v>
      </c>
      <c r="G162" s="612" t="s">
        <v>54</v>
      </c>
      <c r="H162" s="613" t="s">
        <v>72</v>
      </c>
      <c r="I162" s="612" t="s">
        <v>73</v>
      </c>
      <c r="J162" s="612" t="s">
        <v>74</v>
      </c>
    </row>
    <row r="163" spans="1:11">
      <c r="A163" s="614">
        <v>44648</v>
      </c>
      <c r="B163" s="614" t="s">
        <v>5</v>
      </c>
      <c r="C163" s="606" t="s">
        <v>87</v>
      </c>
      <c r="D163" s="606" t="s">
        <v>43</v>
      </c>
      <c r="E163" s="606" t="s">
        <v>75</v>
      </c>
      <c r="F163" s="606" t="s">
        <v>76</v>
      </c>
      <c r="G163" s="606" t="s">
        <v>29</v>
      </c>
      <c r="H163" s="606" t="s">
        <v>43</v>
      </c>
      <c r="I163" s="617">
        <v>0.41666666666666702</v>
      </c>
      <c r="J163" s="606" t="s">
        <v>76</v>
      </c>
    </row>
    <row r="164" spans="1:11">
      <c r="A164" s="614">
        <v>44649</v>
      </c>
      <c r="B164" s="614" t="s">
        <v>6</v>
      </c>
      <c r="C164" s="606" t="s">
        <v>19</v>
      </c>
      <c r="D164" s="606" t="s">
        <v>43</v>
      </c>
      <c r="E164" s="615">
        <v>0.375</v>
      </c>
      <c r="F164" s="606" t="s">
        <v>76</v>
      </c>
      <c r="G164" s="606" t="s">
        <v>88</v>
      </c>
      <c r="H164" s="606" t="s">
        <v>43</v>
      </c>
      <c r="I164" s="617">
        <v>0.36458333333333298</v>
      </c>
      <c r="J164" s="606" t="s">
        <v>76</v>
      </c>
    </row>
    <row r="165" spans="1:11">
      <c r="A165" s="614">
        <v>44650</v>
      </c>
      <c r="B165" s="614" t="s">
        <v>7</v>
      </c>
      <c r="C165" s="606" t="s">
        <v>20</v>
      </c>
      <c r="D165" s="606" t="s">
        <v>43</v>
      </c>
      <c r="E165" s="606" t="s">
        <v>75</v>
      </c>
      <c r="F165" s="606" t="s">
        <v>76</v>
      </c>
      <c r="G165" s="606" t="s">
        <v>89</v>
      </c>
      <c r="H165" s="606" t="s">
        <v>111</v>
      </c>
      <c r="I165" s="606"/>
      <c r="J165" s="606"/>
    </row>
    <row r="166" spans="1:11">
      <c r="A166" s="614">
        <v>44651</v>
      </c>
      <c r="B166" s="614" t="s">
        <v>8</v>
      </c>
      <c r="C166" s="606" t="s">
        <v>21</v>
      </c>
      <c r="D166" s="606" t="s">
        <v>43</v>
      </c>
      <c r="E166" s="606" t="s">
        <v>75</v>
      </c>
      <c r="F166" s="606" t="s">
        <v>76</v>
      </c>
      <c r="G166" s="606" t="s">
        <v>90</v>
      </c>
      <c r="H166" s="606" t="s">
        <v>43</v>
      </c>
      <c r="I166" s="606" t="s">
        <v>75</v>
      </c>
      <c r="J166" s="606" t="s">
        <v>76</v>
      </c>
    </row>
    <row r="167" spans="1:11">
      <c r="A167" s="614">
        <v>44652</v>
      </c>
      <c r="B167" s="614" t="s">
        <v>9</v>
      </c>
      <c r="C167" s="606" t="s">
        <v>22</v>
      </c>
      <c r="D167" s="606" t="s">
        <v>43</v>
      </c>
      <c r="E167" s="617">
        <v>0.35416666666666702</v>
      </c>
      <c r="F167" s="606" t="s">
        <v>76</v>
      </c>
      <c r="G167" s="606" t="s">
        <v>27</v>
      </c>
      <c r="H167" s="606" t="s">
        <v>112</v>
      </c>
      <c r="I167" s="616"/>
      <c r="J167" s="606"/>
    </row>
    <row r="169" spans="1:11" s="558" customFormat="1"/>
    <row r="170" spans="1:11" s="558" customFormat="1"/>
    <row r="171" spans="1:11" ht="33.5">
      <c r="A171" s="656" t="s">
        <v>113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618" t="s">
        <v>114</v>
      </c>
      <c r="B173" s="619">
        <v>44659</v>
      </c>
    </row>
    <row r="174" spans="1:11" ht="21">
      <c r="A174" s="618" t="s">
        <v>115</v>
      </c>
      <c r="B174" s="620" t="s">
        <v>116</v>
      </c>
    </row>
    <row r="175" spans="1:11">
      <c r="H175" s="17"/>
    </row>
    <row r="176" spans="1:11">
      <c r="A176" s="621" t="s">
        <v>117</v>
      </c>
      <c r="B176" s="622" t="s">
        <v>118</v>
      </c>
      <c r="C176" s="622" t="s">
        <v>119</v>
      </c>
      <c r="D176" s="622" t="s">
        <v>120</v>
      </c>
      <c r="E176" s="622" t="s">
        <v>121</v>
      </c>
      <c r="F176" s="623" t="s">
        <v>122</v>
      </c>
      <c r="G176" s="657" t="s">
        <v>123</v>
      </c>
      <c r="H176" s="658"/>
      <c r="I176" s="658"/>
      <c r="J176" s="658"/>
      <c r="K176" s="659"/>
    </row>
    <row r="177" spans="1:11">
      <c r="A177" s="624" t="s">
        <v>15</v>
      </c>
      <c r="B177" s="24">
        <v>2</v>
      </c>
      <c r="C177" s="24">
        <v>1</v>
      </c>
      <c r="D177" s="625">
        <f t="shared" ref="D177:D182" si="0">IF(ISERROR(C177/B177),"",C177/B177)</f>
        <v>0.5</v>
      </c>
      <c r="E177" s="626">
        <v>0.95</v>
      </c>
      <c r="F177" s="627" t="s">
        <v>124</v>
      </c>
      <c r="G177" s="660" t="s">
        <v>125</v>
      </c>
      <c r="H177" s="661"/>
      <c r="I177" s="661"/>
      <c r="J177" s="661"/>
      <c r="K177" s="662"/>
    </row>
    <row r="178" spans="1:11">
      <c r="A178" s="624" t="s">
        <v>12</v>
      </c>
      <c r="B178" s="24">
        <v>2</v>
      </c>
      <c r="C178" s="24">
        <v>2</v>
      </c>
      <c r="D178" s="625">
        <f t="shared" si="0"/>
        <v>1</v>
      </c>
      <c r="E178" s="626">
        <v>0.95</v>
      </c>
      <c r="F178" s="627" t="s">
        <v>124</v>
      </c>
      <c r="G178" s="660"/>
      <c r="H178" s="661"/>
      <c r="I178" s="661"/>
      <c r="J178" s="661"/>
      <c r="K178" s="662"/>
    </row>
    <row r="179" spans="1:11">
      <c r="A179" s="624" t="s">
        <v>18</v>
      </c>
      <c r="B179" s="24">
        <v>5</v>
      </c>
      <c r="C179" s="24">
        <v>4</v>
      </c>
      <c r="D179" s="625">
        <f t="shared" si="0"/>
        <v>0.8</v>
      </c>
      <c r="E179" s="626">
        <v>0.95</v>
      </c>
      <c r="F179" s="627" t="s">
        <v>124</v>
      </c>
      <c r="G179" s="660" t="s">
        <v>126</v>
      </c>
      <c r="H179" s="661"/>
      <c r="I179" s="661"/>
      <c r="J179" s="661"/>
      <c r="K179" s="662"/>
    </row>
    <row r="180" spans="1:11">
      <c r="A180" s="624" t="s">
        <v>24</v>
      </c>
      <c r="B180" s="24">
        <v>5</v>
      </c>
      <c r="C180" s="24">
        <v>5</v>
      </c>
      <c r="D180" s="625">
        <f t="shared" si="0"/>
        <v>1</v>
      </c>
      <c r="E180" s="626">
        <v>0.95</v>
      </c>
      <c r="F180" s="627" t="s">
        <v>124</v>
      </c>
      <c r="G180" s="663"/>
      <c r="H180" s="664"/>
      <c r="I180" s="664"/>
      <c r="J180" s="664"/>
      <c r="K180" s="665"/>
    </row>
    <row r="181" spans="1:11">
      <c r="A181" s="624" t="s">
        <v>30</v>
      </c>
      <c r="B181" s="24">
        <v>1</v>
      </c>
      <c r="C181" s="24">
        <v>1</v>
      </c>
      <c r="D181" s="625">
        <f t="shared" si="0"/>
        <v>1</v>
      </c>
      <c r="E181" s="626">
        <v>0.95</v>
      </c>
      <c r="F181" s="627" t="s">
        <v>124</v>
      </c>
      <c r="G181" s="660"/>
      <c r="H181" s="661"/>
      <c r="I181" s="661"/>
      <c r="J181" s="661"/>
      <c r="K181" s="662"/>
    </row>
    <row r="182" spans="1:11">
      <c r="A182" s="628" t="s">
        <v>127</v>
      </c>
      <c r="B182" s="568">
        <v>5</v>
      </c>
      <c r="C182" s="568">
        <v>3</v>
      </c>
      <c r="D182" s="629">
        <f t="shared" si="0"/>
        <v>0.6</v>
      </c>
      <c r="E182" s="630">
        <v>0.95</v>
      </c>
      <c r="F182" s="631" t="s">
        <v>124</v>
      </c>
      <c r="G182" s="666" t="s">
        <v>128</v>
      </c>
      <c r="H182" s="667"/>
      <c r="I182" s="667"/>
      <c r="J182" s="667"/>
      <c r="K182" s="668"/>
    </row>
    <row r="209" spans="1:6" ht="23.5">
      <c r="A209" s="16" t="s">
        <v>129</v>
      </c>
      <c r="B209" s="16"/>
    </row>
    <row r="210" spans="1:6" ht="23.5">
      <c r="A210" s="632"/>
      <c r="B210" s="632"/>
    </row>
    <row r="211" spans="1:6" ht="29">
      <c r="A211" s="633" t="s">
        <v>130</v>
      </c>
      <c r="B211" s="633" t="s">
        <v>131</v>
      </c>
      <c r="C211" s="633" t="s">
        <v>132</v>
      </c>
      <c r="D211" s="633" t="s">
        <v>133</v>
      </c>
      <c r="E211" s="633" t="s">
        <v>134</v>
      </c>
      <c r="F211" s="633" t="s">
        <v>135</v>
      </c>
    </row>
    <row r="212" spans="1:6">
      <c r="A212" s="136" t="s">
        <v>136</v>
      </c>
      <c r="B212" s="167">
        <v>2</v>
      </c>
      <c r="C212" s="167">
        <v>2</v>
      </c>
      <c r="D212" s="24"/>
      <c r="E212" s="65"/>
      <c r="F212" s="634">
        <f>IF(ISERROR(C212/B212),"",C212/B212)</f>
        <v>1</v>
      </c>
    </row>
    <row r="213" spans="1:6">
      <c r="A213" s="136" t="s">
        <v>137</v>
      </c>
      <c r="B213" s="167">
        <v>9</v>
      </c>
      <c r="C213" s="167">
        <v>9</v>
      </c>
      <c r="D213" s="24"/>
      <c r="E213" s="65"/>
      <c r="F213" s="634">
        <f t="shared" ref="F213:F218" si="1">IF(ISERROR(C213/B213),"",C213/B213)</f>
        <v>1</v>
      </c>
    </row>
    <row r="214" spans="1:6">
      <c r="A214" s="136" t="s">
        <v>138</v>
      </c>
      <c r="B214" s="167">
        <v>0</v>
      </c>
      <c r="C214" s="167">
        <v>0</v>
      </c>
      <c r="D214" s="24"/>
      <c r="E214" s="65"/>
      <c r="F214" s="634" t="str">
        <f t="shared" si="1"/>
        <v/>
      </c>
    </row>
    <row r="215" spans="1:6">
      <c r="A215" s="136" t="s">
        <v>139</v>
      </c>
      <c r="B215" s="24">
        <v>0</v>
      </c>
      <c r="C215" s="24">
        <v>0</v>
      </c>
      <c r="D215" s="24"/>
      <c r="E215" s="65"/>
      <c r="F215" s="634" t="str">
        <f t="shared" si="1"/>
        <v/>
      </c>
    </row>
    <row r="216" spans="1:6">
      <c r="A216" s="136" t="s">
        <v>140</v>
      </c>
      <c r="B216" s="167">
        <v>0</v>
      </c>
      <c r="C216" s="167">
        <v>0</v>
      </c>
      <c r="D216" s="24"/>
      <c r="E216" s="65"/>
      <c r="F216" s="634" t="str">
        <f t="shared" si="1"/>
        <v/>
      </c>
    </row>
    <row r="217" spans="1:6">
      <c r="A217" s="136" t="s">
        <v>141</v>
      </c>
      <c r="B217" s="167">
        <v>2</v>
      </c>
      <c r="C217" s="167">
        <v>2</v>
      </c>
      <c r="D217" s="24"/>
      <c r="E217" s="65"/>
      <c r="F217" s="634">
        <f t="shared" si="1"/>
        <v>1</v>
      </c>
    </row>
    <row r="218" spans="1:6">
      <c r="A218" s="136" t="s">
        <v>142</v>
      </c>
      <c r="B218" s="24">
        <v>2</v>
      </c>
      <c r="C218" s="24">
        <v>2</v>
      </c>
      <c r="D218" s="24"/>
      <c r="E218" s="65"/>
      <c r="F218" s="634">
        <f t="shared" si="1"/>
        <v>1</v>
      </c>
    </row>
    <row r="239" spans="1:11">
      <c r="A239" s="633" t="s">
        <v>143</v>
      </c>
      <c r="B239" s="633" t="s">
        <v>144</v>
      </c>
      <c r="C239" s="633" t="s">
        <v>145</v>
      </c>
      <c r="D239" s="635" t="s">
        <v>146</v>
      </c>
      <c r="E239" s="636"/>
      <c r="F239" s="637"/>
      <c r="G239" s="635" t="s">
        <v>147</v>
      </c>
      <c r="H239" s="636"/>
      <c r="I239" s="637"/>
      <c r="J239" s="633" t="s">
        <v>148</v>
      </c>
      <c r="K239" s="633" t="s">
        <v>149</v>
      </c>
    </row>
    <row r="240" spans="1:11">
      <c r="A240" s="638" t="s">
        <v>29</v>
      </c>
      <c r="B240" s="639">
        <v>44659</v>
      </c>
      <c r="C240" s="638" t="s">
        <v>150</v>
      </c>
      <c r="D240" s="669" t="s">
        <v>151</v>
      </c>
      <c r="E240" s="670"/>
      <c r="F240" s="671"/>
      <c r="G240" s="672" t="s">
        <v>152</v>
      </c>
      <c r="H240" s="673"/>
      <c r="I240" s="674"/>
      <c r="J240" s="638"/>
      <c r="K240" s="638" t="s">
        <v>153</v>
      </c>
    </row>
    <row r="241" spans="1:11">
      <c r="A241" s="638" t="s">
        <v>29</v>
      </c>
      <c r="B241" s="639">
        <v>44659</v>
      </c>
      <c r="C241" s="638" t="s">
        <v>150</v>
      </c>
      <c r="D241" s="669" t="s">
        <v>154</v>
      </c>
      <c r="E241" s="670"/>
      <c r="F241" s="671"/>
      <c r="G241" s="672" t="s">
        <v>155</v>
      </c>
      <c r="H241" s="673"/>
      <c r="I241" s="674"/>
      <c r="J241" s="638"/>
      <c r="K241" s="638" t="s">
        <v>153</v>
      </c>
    </row>
    <row r="242" spans="1:11">
      <c r="A242" s="638" t="s">
        <v>29</v>
      </c>
      <c r="B242" s="639">
        <v>44659</v>
      </c>
      <c r="C242" s="638" t="s">
        <v>150</v>
      </c>
      <c r="D242" s="669" t="s">
        <v>156</v>
      </c>
      <c r="E242" s="670"/>
      <c r="F242" s="671"/>
      <c r="G242" s="672" t="s">
        <v>157</v>
      </c>
      <c r="H242" s="673"/>
      <c r="I242" s="674"/>
      <c r="J242" s="638"/>
      <c r="K242" s="638" t="s">
        <v>158</v>
      </c>
    </row>
    <row r="243" spans="1:11">
      <c r="A243" s="638" t="s">
        <v>26</v>
      </c>
      <c r="B243" s="639">
        <v>44659</v>
      </c>
      <c r="C243" s="638" t="s">
        <v>150</v>
      </c>
      <c r="D243" s="669" t="s">
        <v>159</v>
      </c>
      <c r="E243" s="670"/>
      <c r="F243" s="671"/>
      <c r="G243" s="672" t="s">
        <v>160</v>
      </c>
      <c r="H243" s="673"/>
      <c r="I243" s="674"/>
      <c r="J243" s="638"/>
      <c r="K243" s="638" t="s">
        <v>158</v>
      </c>
    </row>
    <row r="244" spans="1:11">
      <c r="A244" s="638" t="s">
        <v>26</v>
      </c>
      <c r="B244" s="639">
        <v>44659</v>
      </c>
      <c r="C244" s="638" t="s">
        <v>150</v>
      </c>
      <c r="D244" s="669" t="s">
        <v>161</v>
      </c>
      <c r="E244" s="670"/>
      <c r="F244" s="671"/>
      <c r="G244" s="672" t="s">
        <v>162</v>
      </c>
      <c r="H244" s="673"/>
      <c r="I244" s="674"/>
      <c r="J244" s="638"/>
      <c r="K244" s="638" t="s">
        <v>158</v>
      </c>
    </row>
    <row r="245" spans="1:11">
      <c r="A245" s="638" t="s">
        <v>26</v>
      </c>
      <c r="B245" s="639">
        <v>44659</v>
      </c>
      <c r="C245" s="638" t="s">
        <v>150</v>
      </c>
      <c r="D245" s="669" t="s">
        <v>163</v>
      </c>
      <c r="E245" s="670"/>
      <c r="F245" s="671"/>
      <c r="G245" s="672" t="s">
        <v>164</v>
      </c>
      <c r="H245" s="673"/>
      <c r="I245" s="674"/>
      <c r="J245" s="638"/>
      <c r="K245" s="638" t="s">
        <v>158</v>
      </c>
    </row>
    <row r="246" spans="1:11">
      <c r="A246" s="638" t="s">
        <v>26</v>
      </c>
      <c r="B246" s="639">
        <v>44659</v>
      </c>
      <c r="C246" s="638" t="s">
        <v>150</v>
      </c>
      <c r="D246" s="669" t="s">
        <v>165</v>
      </c>
      <c r="E246" s="670"/>
      <c r="F246" s="671"/>
      <c r="G246" s="672" t="s">
        <v>166</v>
      </c>
      <c r="H246" s="673"/>
      <c r="I246" s="674"/>
      <c r="J246" s="638"/>
      <c r="K246" s="638" t="s">
        <v>153</v>
      </c>
    </row>
    <row r="247" spans="1:11">
      <c r="A247" s="638" t="s">
        <v>23</v>
      </c>
      <c r="B247" s="639">
        <v>44655</v>
      </c>
      <c r="C247" s="638" t="s">
        <v>150</v>
      </c>
      <c r="D247" s="669" t="s">
        <v>167</v>
      </c>
      <c r="E247" s="670"/>
      <c r="F247" s="671"/>
      <c r="G247" s="672" t="s">
        <v>168</v>
      </c>
      <c r="H247" s="673"/>
      <c r="I247" s="674"/>
      <c r="J247" s="638"/>
      <c r="K247" s="638" t="s">
        <v>158</v>
      </c>
    </row>
    <row r="248" spans="1:11">
      <c r="A248" s="638" t="s">
        <v>23</v>
      </c>
      <c r="B248" s="639">
        <v>44655</v>
      </c>
      <c r="C248" s="638" t="s">
        <v>150</v>
      </c>
      <c r="D248" s="669" t="s">
        <v>169</v>
      </c>
      <c r="E248" s="670"/>
      <c r="F248" s="671"/>
      <c r="G248" s="672" t="s">
        <v>170</v>
      </c>
      <c r="H248" s="673"/>
      <c r="I248" s="674"/>
      <c r="J248" s="638"/>
      <c r="K248" s="638" t="s">
        <v>153</v>
      </c>
    </row>
    <row r="249" spans="1:11">
      <c r="A249" s="638" t="s">
        <v>171</v>
      </c>
      <c r="B249" s="639">
        <v>44660</v>
      </c>
      <c r="C249" s="638" t="s">
        <v>172</v>
      </c>
      <c r="D249" s="669" t="s">
        <v>173</v>
      </c>
      <c r="E249" s="670"/>
      <c r="F249" s="671"/>
      <c r="G249" s="672" t="s">
        <v>174</v>
      </c>
      <c r="H249" s="673"/>
      <c r="I249" s="674"/>
      <c r="J249" s="638"/>
      <c r="K249" s="638" t="s">
        <v>153</v>
      </c>
    </row>
    <row r="250" spans="1:11">
      <c r="A250" s="638" t="s">
        <v>175</v>
      </c>
      <c r="B250" s="639">
        <v>44659</v>
      </c>
      <c r="C250" s="638" t="s">
        <v>172</v>
      </c>
      <c r="D250" s="669" t="s">
        <v>176</v>
      </c>
      <c r="E250" s="670"/>
      <c r="F250" s="671"/>
      <c r="G250" s="672" t="s">
        <v>177</v>
      </c>
      <c r="H250" s="673"/>
      <c r="I250" s="674"/>
      <c r="J250" s="638"/>
      <c r="K250" s="638" t="s">
        <v>153</v>
      </c>
    </row>
    <row r="251" spans="1:11">
      <c r="A251" s="638" t="s">
        <v>178</v>
      </c>
      <c r="B251" s="639">
        <v>44659</v>
      </c>
      <c r="C251" s="638" t="s">
        <v>172</v>
      </c>
      <c r="D251" s="669" t="s">
        <v>173</v>
      </c>
      <c r="E251" s="670"/>
      <c r="F251" s="671"/>
      <c r="G251" s="672" t="s">
        <v>174</v>
      </c>
      <c r="H251" s="673"/>
      <c r="I251" s="674"/>
      <c r="J251" s="638"/>
      <c r="K251" s="638" t="s">
        <v>153</v>
      </c>
    </row>
    <row r="252" spans="1:11">
      <c r="A252" s="638" t="s">
        <v>179</v>
      </c>
      <c r="B252" s="639">
        <v>44655</v>
      </c>
      <c r="C252" s="638" t="s">
        <v>180</v>
      </c>
      <c r="D252" s="669" t="s">
        <v>181</v>
      </c>
      <c r="E252" s="670"/>
      <c r="F252" s="671"/>
      <c r="G252" s="672" t="s">
        <v>182</v>
      </c>
      <c r="H252" s="673"/>
      <c r="I252" s="674"/>
      <c r="J252" s="638"/>
      <c r="K252" s="638" t="s">
        <v>153</v>
      </c>
    </row>
    <row r="253" spans="1:11">
      <c r="A253" s="24"/>
      <c r="B253" s="640"/>
      <c r="C253" s="24"/>
      <c r="D253" s="672"/>
      <c r="E253" s="673"/>
      <c r="F253" s="674"/>
      <c r="G253" s="669"/>
      <c r="H253" s="670"/>
      <c r="I253" s="671"/>
      <c r="J253" s="24"/>
      <c r="K253" s="24"/>
    </row>
    <row r="254" spans="1:11">
      <c r="B254" s="641"/>
    </row>
    <row r="255" spans="1:11">
      <c r="B255" s="641"/>
    </row>
    <row r="256" spans="1:11" ht="29">
      <c r="A256" s="633" t="s">
        <v>183</v>
      </c>
      <c r="B256" s="633" t="s">
        <v>184</v>
      </c>
      <c r="C256" s="633" t="s">
        <v>185</v>
      </c>
      <c r="D256" s="633" t="s">
        <v>186</v>
      </c>
      <c r="E256" s="633" t="s">
        <v>187</v>
      </c>
      <c r="F256" s="633" t="s">
        <v>188</v>
      </c>
      <c r="G256" s="633" t="s">
        <v>189</v>
      </c>
    </row>
    <row r="257" spans="1:11">
      <c r="A257" s="167" t="s">
        <v>190</v>
      </c>
      <c r="B257" s="167">
        <v>76</v>
      </c>
      <c r="C257" s="167">
        <v>0</v>
      </c>
      <c r="D257" s="167"/>
      <c r="E257" s="167">
        <v>0</v>
      </c>
      <c r="F257" s="642">
        <f t="shared" ref="F257:F262" si="2">IF(ISERROR(C257/B257)," ",C257/B257)</f>
        <v>0</v>
      </c>
      <c r="G257" s="642" t="str">
        <f t="shared" ref="G257:G262" si="3">IF(ISERROR(E257/D257)," ",E257/D257)</f>
        <v/>
      </c>
    </row>
    <row r="258" spans="1:11">
      <c r="A258" s="167" t="s">
        <v>191</v>
      </c>
      <c r="B258" s="167">
        <v>63</v>
      </c>
      <c r="C258" s="167">
        <v>0</v>
      </c>
      <c r="D258" s="167"/>
      <c r="E258" s="167">
        <v>0</v>
      </c>
      <c r="F258" s="642">
        <f t="shared" si="2"/>
        <v>0</v>
      </c>
      <c r="G258" s="642" t="str">
        <f t="shared" si="3"/>
        <v/>
      </c>
    </row>
    <row r="259" spans="1:11">
      <c r="A259" s="24" t="s">
        <v>139</v>
      </c>
      <c r="B259" s="24">
        <v>6</v>
      </c>
      <c r="C259" s="24">
        <v>0</v>
      </c>
      <c r="D259" s="24"/>
      <c r="E259" s="24">
        <v>0</v>
      </c>
      <c r="F259" s="642">
        <f t="shared" si="2"/>
        <v>0</v>
      </c>
      <c r="G259" s="642" t="str">
        <f t="shared" si="3"/>
        <v/>
      </c>
    </row>
    <row r="260" spans="1:11">
      <c r="A260" s="167" t="s">
        <v>192</v>
      </c>
      <c r="B260" s="167">
        <v>1</v>
      </c>
      <c r="C260" s="167">
        <v>0</v>
      </c>
      <c r="D260" s="167"/>
      <c r="E260" s="167">
        <v>0</v>
      </c>
      <c r="F260" s="642">
        <f t="shared" si="2"/>
        <v>0</v>
      </c>
      <c r="G260" s="642" t="str">
        <f t="shared" si="3"/>
        <v/>
      </c>
    </row>
    <row r="261" spans="1:11">
      <c r="A261" s="167" t="s">
        <v>193</v>
      </c>
      <c r="B261" s="167">
        <v>5</v>
      </c>
      <c r="C261" s="167">
        <v>0</v>
      </c>
      <c r="D261" s="167"/>
      <c r="E261" s="167">
        <v>0</v>
      </c>
      <c r="F261" s="642">
        <f t="shared" si="2"/>
        <v>0</v>
      </c>
      <c r="G261" s="642" t="str">
        <f t="shared" si="3"/>
        <v/>
      </c>
    </row>
    <row r="262" spans="1:11">
      <c r="A262" s="24" t="s">
        <v>138</v>
      </c>
      <c r="B262" s="24">
        <v>9</v>
      </c>
      <c r="C262" s="24">
        <v>0</v>
      </c>
      <c r="D262" s="24"/>
      <c r="E262" s="24">
        <v>0</v>
      </c>
      <c r="F262" s="642">
        <f t="shared" si="2"/>
        <v>0</v>
      </c>
      <c r="G262" s="642" t="str">
        <f t="shared" si="3"/>
        <v/>
      </c>
    </row>
    <row r="264" spans="1:11" s="558" customFormat="1"/>
    <row r="265" spans="1:11" s="558" customFormat="1"/>
    <row r="266" spans="1:11" s="558" customFormat="1"/>
    <row r="268" spans="1:11" ht="33.5">
      <c r="A268" s="656" t="s">
        <v>113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</row>
    <row r="272" spans="1:11" ht="21">
      <c r="A272" s="618" t="s">
        <v>114</v>
      </c>
      <c r="B272" s="619">
        <v>44666</v>
      </c>
    </row>
    <row r="273" spans="1:11" ht="21">
      <c r="A273" s="618" t="s">
        <v>115</v>
      </c>
      <c r="B273" s="620" t="s">
        <v>116</v>
      </c>
    </row>
    <row r="274" spans="1:11">
      <c r="H274" s="17"/>
    </row>
    <row r="275" spans="1:11">
      <c r="A275" s="621" t="s">
        <v>117</v>
      </c>
      <c r="B275" s="622" t="s">
        <v>118</v>
      </c>
      <c r="C275" s="622" t="s">
        <v>119</v>
      </c>
      <c r="D275" s="622" t="s">
        <v>120</v>
      </c>
      <c r="E275" s="622" t="s">
        <v>121</v>
      </c>
      <c r="F275" s="623" t="s">
        <v>122</v>
      </c>
      <c r="G275" s="657" t="s">
        <v>123</v>
      </c>
      <c r="H275" s="658"/>
      <c r="I275" s="658"/>
      <c r="J275" s="658"/>
      <c r="K275" s="659"/>
    </row>
    <row r="276" spans="1:11">
      <c r="A276" s="624" t="s">
        <v>15</v>
      </c>
      <c r="B276" s="24">
        <v>1</v>
      </c>
      <c r="C276" s="24">
        <v>1</v>
      </c>
      <c r="D276" s="625">
        <f t="shared" ref="D276:D281" si="4">IF(ISERROR(C276/B276),"",C276/B276)</f>
        <v>1</v>
      </c>
      <c r="E276" s="626">
        <v>0.95</v>
      </c>
      <c r="F276" s="627" t="s">
        <v>124</v>
      </c>
      <c r="G276" s="660"/>
      <c r="H276" s="661"/>
      <c r="I276" s="661"/>
      <c r="J276" s="661"/>
      <c r="K276" s="662"/>
    </row>
    <row r="277" spans="1:11">
      <c r="A277" s="624" t="s">
        <v>12</v>
      </c>
      <c r="B277" s="24">
        <v>4</v>
      </c>
      <c r="C277" s="24">
        <v>3</v>
      </c>
      <c r="D277" s="625">
        <f t="shared" si="4"/>
        <v>0.75</v>
      </c>
      <c r="E277" s="626">
        <v>0.95</v>
      </c>
      <c r="F277" s="627" t="s">
        <v>124</v>
      </c>
      <c r="G277" s="663" t="s">
        <v>194</v>
      </c>
      <c r="H277" s="664"/>
      <c r="I277" s="664"/>
      <c r="J277" s="664"/>
      <c r="K277" s="665"/>
    </row>
    <row r="278" spans="1:11">
      <c r="A278" s="624" t="s">
        <v>18</v>
      </c>
      <c r="B278" s="24">
        <v>4</v>
      </c>
      <c r="C278" s="24"/>
      <c r="D278" s="625">
        <f t="shared" si="4"/>
        <v>0</v>
      </c>
      <c r="E278" s="626">
        <v>0.95</v>
      </c>
      <c r="F278" s="627" t="s">
        <v>124</v>
      </c>
      <c r="G278" s="660"/>
      <c r="H278" s="661"/>
      <c r="I278" s="661"/>
      <c r="J278" s="661"/>
      <c r="K278" s="662"/>
    </row>
    <row r="279" spans="1:11">
      <c r="A279" s="624" t="s">
        <v>24</v>
      </c>
      <c r="B279" s="24">
        <v>4</v>
      </c>
      <c r="C279" s="24"/>
      <c r="D279" s="625">
        <f t="shared" si="4"/>
        <v>0</v>
      </c>
      <c r="E279" s="626">
        <v>0.95</v>
      </c>
      <c r="F279" s="627" t="s">
        <v>124</v>
      </c>
      <c r="G279" s="663" t="s">
        <v>195</v>
      </c>
      <c r="H279" s="664"/>
      <c r="I279" s="664"/>
      <c r="J279" s="664"/>
      <c r="K279" s="665"/>
    </row>
    <row r="280" spans="1:11">
      <c r="A280" s="624" t="s">
        <v>30</v>
      </c>
      <c r="B280" s="24">
        <v>0</v>
      </c>
      <c r="C280" s="24"/>
      <c r="D280" s="625" t="str">
        <f t="shared" si="4"/>
        <v/>
      </c>
      <c r="E280" s="626">
        <v>0.95</v>
      </c>
      <c r="F280" s="627"/>
      <c r="G280" s="660"/>
      <c r="H280" s="661"/>
      <c r="I280" s="661"/>
      <c r="J280" s="661"/>
      <c r="K280" s="662"/>
    </row>
    <row r="281" spans="1:11">
      <c r="A281" s="628" t="s">
        <v>127</v>
      </c>
      <c r="B281" s="568">
        <v>3</v>
      </c>
      <c r="C281" s="568"/>
      <c r="D281" s="629">
        <f t="shared" si="4"/>
        <v>0</v>
      </c>
      <c r="E281" s="630">
        <v>0.95</v>
      </c>
      <c r="F281" s="631" t="s">
        <v>124</v>
      </c>
      <c r="G281" s="666"/>
      <c r="H281" s="667"/>
      <c r="I281" s="667"/>
      <c r="J281" s="667"/>
      <c r="K281" s="668"/>
    </row>
    <row r="311" spans="1:6" ht="23.5">
      <c r="A311" s="16" t="s">
        <v>129</v>
      </c>
      <c r="B311" s="16"/>
    </row>
    <row r="312" spans="1:6" ht="23.5">
      <c r="A312" s="632"/>
      <c r="B312" s="632"/>
    </row>
    <row r="313" spans="1:6" ht="29">
      <c r="A313" s="633" t="s">
        <v>130</v>
      </c>
      <c r="B313" s="633" t="s">
        <v>131</v>
      </c>
      <c r="C313" s="633" t="s">
        <v>132</v>
      </c>
      <c r="D313" s="633" t="s">
        <v>133</v>
      </c>
      <c r="E313" s="633" t="s">
        <v>134</v>
      </c>
      <c r="F313" s="633" t="s">
        <v>135</v>
      </c>
    </row>
    <row r="314" spans="1:6">
      <c r="A314" s="136" t="s">
        <v>136</v>
      </c>
      <c r="B314" s="167">
        <v>6</v>
      </c>
      <c r="C314" s="167"/>
      <c r="D314" s="24"/>
      <c r="E314" s="65"/>
      <c r="F314" s="634">
        <f>IF(ISERROR(C314/B314),"",C314/B314)</f>
        <v>0</v>
      </c>
    </row>
    <row r="315" spans="1:6">
      <c r="A315" s="136" t="s">
        <v>137</v>
      </c>
      <c r="B315" s="167">
        <v>8</v>
      </c>
      <c r="C315" s="167"/>
      <c r="D315" s="24"/>
      <c r="E315" s="65"/>
      <c r="F315" s="634">
        <f t="shared" ref="F315:F320" si="5">IF(ISERROR(C315/B315),"",C315/B315)</f>
        <v>0</v>
      </c>
    </row>
    <row r="316" spans="1:6">
      <c r="A316" s="136" t="s">
        <v>138</v>
      </c>
      <c r="B316" s="167">
        <v>2</v>
      </c>
      <c r="C316" s="167"/>
      <c r="D316" s="24"/>
      <c r="E316" s="65"/>
      <c r="F316" s="634">
        <f t="shared" si="5"/>
        <v>0</v>
      </c>
    </row>
    <row r="317" spans="1:6">
      <c r="A317" s="136" t="s">
        <v>139</v>
      </c>
      <c r="B317" s="24">
        <v>8</v>
      </c>
      <c r="C317" s="24"/>
      <c r="D317" s="24"/>
      <c r="E317" s="65"/>
      <c r="F317" s="634">
        <f t="shared" si="5"/>
        <v>0</v>
      </c>
    </row>
    <row r="318" spans="1:6">
      <c r="A318" s="136" t="s">
        <v>140</v>
      </c>
      <c r="B318" s="167"/>
      <c r="C318" s="167"/>
      <c r="D318" s="24"/>
      <c r="E318" s="65"/>
      <c r="F318" s="634" t="str">
        <f t="shared" si="5"/>
        <v/>
      </c>
    </row>
    <row r="319" spans="1:6">
      <c r="A319" s="136" t="s">
        <v>141</v>
      </c>
      <c r="B319" s="167"/>
      <c r="C319" s="167"/>
      <c r="D319" s="24"/>
      <c r="E319" s="65"/>
      <c r="F319" s="634" t="str">
        <f t="shared" si="5"/>
        <v/>
      </c>
    </row>
    <row r="320" spans="1:6">
      <c r="A320" s="136" t="s">
        <v>142</v>
      </c>
      <c r="B320" s="24"/>
      <c r="C320" s="24"/>
      <c r="D320" s="24"/>
      <c r="E320" s="65"/>
      <c r="F320" s="634" t="str">
        <f t="shared" si="5"/>
        <v/>
      </c>
    </row>
    <row r="355" spans="1:11">
      <c r="A355" s="633" t="s">
        <v>143</v>
      </c>
      <c r="B355" s="633" t="s">
        <v>144</v>
      </c>
      <c r="C355" s="633" t="s">
        <v>145</v>
      </c>
      <c r="D355" s="635" t="s">
        <v>146</v>
      </c>
      <c r="E355" s="636"/>
      <c r="F355" s="637"/>
      <c r="G355" s="635" t="s">
        <v>147</v>
      </c>
      <c r="H355" s="636"/>
      <c r="I355" s="637"/>
      <c r="J355" s="633" t="s">
        <v>148</v>
      </c>
      <c r="K355" s="633" t="s">
        <v>149</v>
      </c>
    </row>
    <row r="356" spans="1:11">
      <c r="A356" s="638"/>
      <c r="B356" s="639"/>
      <c r="C356" s="638"/>
      <c r="D356" s="669"/>
      <c r="E356" s="670"/>
      <c r="F356" s="671"/>
      <c r="G356" s="672"/>
      <c r="H356" s="673"/>
      <c r="I356" s="674"/>
      <c r="J356" s="638"/>
      <c r="K356" s="638"/>
    </row>
    <row r="357" spans="1:11">
      <c r="A357" s="638"/>
      <c r="B357" s="639"/>
      <c r="C357" s="638"/>
      <c r="D357" s="669"/>
      <c r="E357" s="670"/>
      <c r="F357" s="671"/>
      <c r="G357" s="672"/>
      <c r="H357" s="673"/>
      <c r="I357" s="674"/>
      <c r="J357" s="638"/>
      <c r="K357" s="638"/>
    </row>
    <row r="358" spans="1:11">
      <c r="A358" s="638"/>
      <c r="B358" s="639"/>
      <c r="C358" s="638"/>
      <c r="D358" s="669"/>
      <c r="E358" s="670"/>
      <c r="F358" s="671"/>
      <c r="G358" s="672"/>
      <c r="H358" s="673"/>
      <c r="I358" s="674"/>
      <c r="J358" s="638"/>
      <c r="K358" s="638"/>
    </row>
    <row r="359" spans="1:11">
      <c r="A359" s="638"/>
      <c r="B359" s="639"/>
      <c r="C359" s="638"/>
      <c r="D359" s="669"/>
      <c r="E359" s="670"/>
      <c r="F359" s="671"/>
      <c r="G359" s="672"/>
      <c r="H359" s="673"/>
      <c r="I359" s="674"/>
      <c r="J359" s="638"/>
      <c r="K359" s="638"/>
    </row>
    <row r="360" spans="1:11">
      <c r="A360" s="638"/>
      <c r="B360" s="639"/>
      <c r="C360" s="638"/>
      <c r="D360" s="669"/>
      <c r="E360" s="670"/>
      <c r="F360" s="671"/>
      <c r="G360" s="672"/>
      <c r="H360" s="673"/>
      <c r="I360" s="674"/>
      <c r="J360" s="638"/>
      <c r="K360" s="638"/>
    </row>
    <row r="361" spans="1:11">
      <c r="A361" s="638"/>
      <c r="B361" s="639"/>
      <c r="C361" s="638"/>
      <c r="D361" s="669"/>
      <c r="E361" s="670"/>
      <c r="F361" s="671"/>
      <c r="G361" s="672"/>
      <c r="H361" s="673"/>
      <c r="I361" s="674"/>
      <c r="J361" s="638"/>
      <c r="K361" s="638"/>
    </row>
    <row r="362" spans="1:11">
      <c r="A362" s="638"/>
      <c r="B362" s="639"/>
      <c r="C362" s="638"/>
      <c r="D362" s="669"/>
      <c r="E362" s="670"/>
      <c r="F362" s="671"/>
      <c r="G362" s="672"/>
      <c r="H362" s="673"/>
      <c r="I362" s="674"/>
      <c r="J362" s="638"/>
      <c r="K362" s="638"/>
    </row>
    <row r="363" spans="1:11">
      <c r="A363" s="638"/>
      <c r="B363" s="639"/>
      <c r="C363" s="638"/>
      <c r="D363" s="669"/>
      <c r="E363" s="670"/>
      <c r="F363" s="671"/>
      <c r="G363" s="672"/>
      <c r="H363" s="673"/>
      <c r="I363" s="674"/>
      <c r="J363" s="638"/>
      <c r="K363" s="638"/>
    </row>
    <row r="364" spans="1:11">
      <c r="A364" s="638"/>
      <c r="B364" s="639"/>
      <c r="C364" s="638"/>
      <c r="D364" s="669"/>
      <c r="E364" s="670"/>
      <c r="F364" s="671"/>
      <c r="G364" s="672"/>
      <c r="H364" s="673"/>
      <c r="I364" s="674"/>
      <c r="J364" s="638"/>
      <c r="K364" s="638"/>
    </row>
    <row r="365" spans="1:11">
      <c r="A365" s="638"/>
      <c r="B365" s="639"/>
      <c r="C365" s="638"/>
      <c r="D365" s="669"/>
      <c r="E365" s="670"/>
      <c r="F365" s="671"/>
      <c r="G365" s="672"/>
      <c r="H365" s="673"/>
      <c r="I365" s="674"/>
      <c r="J365" s="638"/>
      <c r="K365" s="638"/>
    </row>
    <row r="366" spans="1:11">
      <c r="A366" s="638"/>
      <c r="B366" s="639"/>
      <c r="C366" s="638"/>
      <c r="D366" s="669"/>
      <c r="E366" s="670"/>
      <c r="F366" s="671"/>
      <c r="G366" s="672"/>
      <c r="H366" s="673"/>
      <c r="I366" s="674"/>
      <c r="J366" s="638"/>
      <c r="K366" s="638"/>
    </row>
    <row r="367" spans="1:11">
      <c r="A367" s="638"/>
      <c r="B367" s="639"/>
      <c r="C367" s="638"/>
      <c r="D367" s="669"/>
      <c r="E367" s="670"/>
      <c r="F367" s="671"/>
      <c r="G367" s="672"/>
      <c r="H367" s="673"/>
      <c r="I367" s="674"/>
      <c r="J367" s="638"/>
      <c r="K367" s="638"/>
    </row>
    <row r="368" spans="1:11">
      <c r="A368" s="638"/>
      <c r="B368" s="639"/>
      <c r="C368" s="638"/>
      <c r="D368" s="669"/>
      <c r="E368" s="670"/>
      <c r="F368" s="671"/>
      <c r="G368" s="672"/>
      <c r="H368" s="673"/>
      <c r="I368" s="674"/>
      <c r="J368" s="638"/>
      <c r="K368" s="638"/>
    </row>
    <row r="369" spans="1:11">
      <c r="A369" s="24"/>
      <c r="B369" s="640"/>
      <c r="C369" s="24"/>
      <c r="D369" s="672"/>
      <c r="E369" s="673"/>
      <c r="F369" s="674"/>
      <c r="G369" s="669"/>
      <c r="H369" s="670"/>
      <c r="I369" s="671"/>
      <c r="J369" s="24"/>
      <c r="K369" s="24"/>
    </row>
    <row r="376" spans="1:11" ht="29">
      <c r="A376" s="633" t="s">
        <v>183</v>
      </c>
      <c r="B376" s="633" t="s">
        <v>184</v>
      </c>
      <c r="C376" s="633" t="s">
        <v>185</v>
      </c>
      <c r="D376" s="633" t="s">
        <v>186</v>
      </c>
      <c r="E376" s="633" t="s">
        <v>187</v>
      </c>
      <c r="F376" s="633" t="s">
        <v>188</v>
      </c>
      <c r="G376" s="633" t="s">
        <v>189</v>
      </c>
    </row>
    <row r="377" spans="1:11">
      <c r="A377" s="167" t="s">
        <v>190</v>
      </c>
      <c r="B377" s="167">
        <v>64</v>
      </c>
      <c r="C377" s="167">
        <v>0</v>
      </c>
      <c r="D377" s="167"/>
      <c r="E377" s="167">
        <v>0</v>
      </c>
      <c r="F377" s="642">
        <f t="shared" ref="F377:F382" si="6">IF(ISERROR(C377/B377)," ",C377/B377)</f>
        <v>0</v>
      </c>
      <c r="G377" s="642" t="str">
        <f t="shared" ref="G377:G382" si="7">IF(ISERROR(E377/D377)," ",E377/D377)</f>
        <v/>
      </c>
    </row>
    <row r="378" spans="1:11">
      <c r="A378" s="167" t="s">
        <v>191</v>
      </c>
      <c r="B378" s="167">
        <v>78</v>
      </c>
      <c r="C378" s="167">
        <v>0</v>
      </c>
      <c r="D378" s="167"/>
      <c r="E378" s="167">
        <v>0</v>
      </c>
      <c r="F378" s="642">
        <f t="shared" si="6"/>
        <v>0</v>
      </c>
      <c r="G378" s="642" t="str">
        <f t="shared" si="7"/>
        <v/>
      </c>
    </row>
    <row r="379" spans="1:11">
      <c r="A379" s="24" t="s">
        <v>139</v>
      </c>
      <c r="B379" s="24">
        <v>6</v>
      </c>
      <c r="C379" s="24">
        <v>0</v>
      </c>
      <c r="D379" s="24"/>
      <c r="E379" s="24">
        <v>0</v>
      </c>
      <c r="F379" s="642">
        <f t="shared" si="6"/>
        <v>0</v>
      </c>
      <c r="G379" s="642" t="str">
        <f t="shared" si="7"/>
        <v/>
      </c>
    </row>
    <row r="380" spans="1:11">
      <c r="A380" s="167" t="s">
        <v>192</v>
      </c>
      <c r="B380" s="167">
        <v>0</v>
      </c>
      <c r="C380" s="167">
        <v>0</v>
      </c>
      <c r="D380" s="167"/>
      <c r="E380" s="167">
        <v>0</v>
      </c>
      <c r="F380" s="642" t="str">
        <f t="shared" si="6"/>
        <v/>
      </c>
      <c r="G380" s="642" t="str">
        <f t="shared" si="7"/>
        <v/>
      </c>
    </row>
    <row r="381" spans="1:11">
      <c r="A381" s="167" t="s">
        <v>193</v>
      </c>
      <c r="B381" s="167">
        <v>6</v>
      </c>
      <c r="C381" s="167">
        <v>1</v>
      </c>
      <c r="D381" s="167"/>
      <c r="E381" s="167">
        <v>0</v>
      </c>
      <c r="F381" s="642">
        <f t="shared" si="6"/>
        <v>0.16666666666666699</v>
      </c>
      <c r="G381" s="642" t="str">
        <f t="shared" si="7"/>
        <v/>
      </c>
    </row>
    <row r="382" spans="1:11">
      <c r="A382" s="24" t="s">
        <v>138</v>
      </c>
      <c r="B382" s="24">
        <v>5</v>
      </c>
      <c r="C382" s="24">
        <v>0</v>
      </c>
      <c r="D382" s="24"/>
      <c r="E382" s="24">
        <v>0</v>
      </c>
      <c r="F382" s="642">
        <f t="shared" si="6"/>
        <v>0</v>
      </c>
      <c r="G382" s="642" t="str">
        <f t="shared" si="7"/>
        <v/>
      </c>
    </row>
  </sheetData>
  <mergeCells count="94">
    <mergeCell ref="B88:B89"/>
    <mergeCell ref="B90:B91"/>
    <mergeCell ref="C65:C91"/>
    <mergeCell ref="G65:G91"/>
    <mergeCell ref="D368:F368"/>
    <mergeCell ref="G368:I368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zoomScale="70" zoomScaleNormal="70" workbookViewId="0">
      <selection activeCell="C10" sqref="C10"/>
    </sheetView>
  </sheetViews>
  <sheetFormatPr defaultColWidth="9" defaultRowHeight="14.5"/>
  <cols>
    <col min="1" max="1" width="25.54296875" customWidth="1"/>
    <col min="2" max="2" width="20.453125" customWidth="1"/>
    <col min="3" max="3" width="18.90625" customWidth="1"/>
    <col min="4" max="4" width="19.90625" customWidth="1"/>
    <col min="5" max="5" width="19.453125" customWidth="1"/>
    <col min="6" max="6" width="18.90625" customWidth="1"/>
    <col min="7" max="7" width="17.453125" customWidth="1"/>
    <col min="8" max="8" width="11.54296875" customWidth="1"/>
    <col min="9" max="9" width="16.36328125" customWidth="1"/>
    <col min="10" max="10" width="24.54296875" customWidth="1"/>
    <col min="11" max="11" width="14.54296875" customWidth="1"/>
    <col min="12" max="12" width="18.90625" customWidth="1"/>
    <col min="13" max="13" width="13.453125" customWidth="1"/>
    <col min="14" max="14" width="12.08984375" customWidth="1"/>
  </cols>
  <sheetData>
    <row r="1" spans="1:12" ht="21">
      <c r="E1" s="484" t="s">
        <v>196</v>
      </c>
      <c r="F1" s="484"/>
    </row>
    <row r="2" spans="1:12">
      <c r="A2" s="236" t="s">
        <v>197</v>
      </c>
      <c r="B2" s="236"/>
      <c r="G2" s="24"/>
      <c r="H2" s="485" t="s">
        <v>198</v>
      </c>
      <c r="I2" s="485" t="s">
        <v>199</v>
      </c>
      <c r="J2" s="485" t="s">
        <v>200</v>
      </c>
      <c r="K2" s="485" t="s">
        <v>201</v>
      </c>
      <c r="L2" s="485" t="s">
        <v>202</v>
      </c>
    </row>
    <row r="3" spans="1:12">
      <c r="G3" s="486" t="s">
        <v>203</v>
      </c>
      <c r="H3" s="487">
        <v>598346</v>
      </c>
      <c r="I3" s="487">
        <v>591148</v>
      </c>
      <c r="J3" s="487">
        <v>54219</v>
      </c>
      <c r="K3" s="487">
        <v>49410</v>
      </c>
      <c r="L3" s="544">
        <f>K3-J3</f>
        <v>-4809</v>
      </c>
    </row>
    <row r="4" spans="1:12">
      <c r="A4" s="236" t="s">
        <v>204</v>
      </c>
      <c r="B4" s="488">
        <v>46066</v>
      </c>
      <c r="C4" s="161" t="s">
        <v>205</v>
      </c>
      <c r="D4" s="488">
        <v>46072</v>
      </c>
      <c r="G4" s="489" t="s">
        <v>206</v>
      </c>
      <c r="H4" s="487">
        <v>552009</v>
      </c>
      <c r="I4" s="487">
        <v>536592</v>
      </c>
      <c r="J4" s="487">
        <v>45969</v>
      </c>
      <c r="K4" s="487">
        <v>45985</v>
      </c>
      <c r="L4" s="544">
        <f>K4-J4</f>
        <v>16</v>
      </c>
    </row>
    <row r="5" spans="1:12">
      <c r="G5" s="490"/>
    </row>
    <row r="6" spans="1:12" ht="15.5">
      <c r="A6" s="689" t="s">
        <v>207</v>
      </c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689"/>
    </row>
    <row r="7" spans="1:12" ht="15.5">
      <c r="A7" s="491"/>
      <c r="B7" s="492" t="s">
        <v>208</v>
      </c>
      <c r="C7" s="485" t="s">
        <v>209</v>
      </c>
      <c r="D7" s="690" t="s">
        <v>210</v>
      </c>
      <c r="E7" s="690"/>
      <c r="F7" s="690"/>
      <c r="G7" s="690"/>
      <c r="H7" s="690"/>
      <c r="I7" s="690"/>
      <c r="J7" s="690"/>
      <c r="K7" s="690"/>
      <c r="L7" s="690"/>
    </row>
    <row r="8" spans="1:12">
      <c r="A8" s="489" t="s">
        <v>211</v>
      </c>
      <c r="B8" s="65"/>
      <c r="C8" s="65"/>
      <c r="D8" s="691"/>
      <c r="E8" s="691"/>
      <c r="F8" s="691"/>
      <c r="G8" s="691"/>
      <c r="H8" s="691"/>
      <c r="I8" s="691"/>
      <c r="J8" s="691"/>
      <c r="K8" s="691"/>
      <c r="L8" s="691"/>
    </row>
    <row r="9" spans="1:12" ht="17.149999999999999" customHeight="1">
      <c r="A9" s="489" t="s">
        <v>212</v>
      </c>
      <c r="B9" s="65"/>
      <c r="C9" s="69"/>
      <c r="D9" s="692"/>
      <c r="E9" s="693"/>
      <c r="F9" s="693"/>
      <c r="G9" s="693"/>
      <c r="H9" s="693"/>
      <c r="I9" s="693"/>
      <c r="J9" s="693"/>
      <c r="K9" s="693"/>
      <c r="L9" s="693"/>
    </row>
    <row r="10" spans="1:12" ht="15" customHeight="1">
      <c r="A10" s="489" t="s">
        <v>213</v>
      </c>
      <c r="B10" s="65"/>
      <c r="C10" s="65"/>
      <c r="D10" s="694"/>
      <c r="E10" s="695"/>
      <c r="F10" s="695"/>
      <c r="G10" s="695"/>
      <c r="H10" s="695"/>
      <c r="I10" s="695"/>
      <c r="J10" s="695"/>
      <c r="K10" s="695"/>
      <c r="L10" s="696"/>
    </row>
    <row r="11" spans="1:12">
      <c r="A11" s="489" t="s">
        <v>214</v>
      </c>
      <c r="B11" s="65"/>
      <c r="C11" s="65"/>
      <c r="D11" s="691"/>
      <c r="E11" s="691"/>
      <c r="F11" s="691"/>
      <c r="G11" s="691"/>
      <c r="H11" s="691"/>
      <c r="I11" s="691"/>
      <c r="J11" s="691"/>
      <c r="K11" s="691"/>
      <c r="L11" s="691"/>
    </row>
    <row r="12" spans="1:12" ht="15.5">
      <c r="A12" s="689" t="s">
        <v>215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</row>
    <row r="13" spans="1:12" ht="15.5">
      <c r="A13" s="493"/>
      <c r="B13" s="485" t="s">
        <v>216</v>
      </c>
      <c r="C13" s="485" t="s">
        <v>119</v>
      </c>
      <c r="D13" s="485" t="s">
        <v>217</v>
      </c>
      <c r="E13" s="485" t="s">
        <v>218</v>
      </c>
      <c r="F13" s="697" t="s">
        <v>219</v>
      </c>
      <c r="G13" s="698"/>
      <c r="H13" s="699" t="s">
        <v>210</v>
      </c>
      <c r="I13" s="699"/>
      <c r="J13" s="699"/>
      <c r="K13" s="699"/>
      <c r="L13" s="700"/>
    </row>
    <row r="14" spans="1:12">
      <c r="A14" s="495" t="s">
        <v>220</v>
      </c>
      <c r="B14" s="496">
        <v>119</v>
      </c>
      <c r="C14" s="24">
        <v>92</v>
      </c>
      <c r="D14" s="24">
        <v>9</v>
      </c>
      <c r="E14" s="497">
        <v>18</v>
      </c>
      <c r="F14" s="701">
        <v>0.77300000000000002</v>
      </c>
      <c r="G14" s="702"/>
      <c r="H14" s="703"/>
      <c r="I14" s="703"/>
      <c r="J14" s="703"/>
      <c r="K14" s="703"/>
      <c r="L14" s="704"/>
    </row>
    <row r="15" spans="1:12">
      <c r="A15" s="495" t="s">
        <v>221</v>
      </c>
      <c r="B15" s="496">
        <v>120</v>
      </c>
      <c r="C15" s="24">
        <v>100</v>
      </c>
      <c r="D15" s="24">
        <v>9</v>
      </c>
      <c r="E15" s="497">
        <v>11</v>
      </c>
      <c r="F15" s="701">
        <v>0.83299999999999996</v>
      </c>
      <c r="G15" s="702"/>
      <c r="H15" s="705"/>
      <c r="I15" s="705"/>
      <c r="J15" s="705"/>
      <c r="K15" s="705"/>
      <c r="L15" s="706"/>
    </row>
    <row r="16" spans="1:12">
      <c r="A16" s="495" t="s">
        <v>222</v>
      </c>
      <c r="B16" s="498">
        <v>120</v>
      </c>
      <c r="C16" s="24">
        <v>99</v>
      </c>
      <c r="D16" s="24">
        <v>9</v>
      </c>
      <c r="E16" s="497">
        <v>12</v>
      </c>
      <c r="F16" s="701">
        <v>0.82499999999999996</v>
      </c>
      <c r="G16" s="702"/>
      <c r="H16" s="707"/>
      <c r="I16" s="707"/>
      <c r="J16" s="707"/>
      <c r="K16" s="707"/>
      <c r="L16" s="708"/>
    </row>
    <row r="17" spans="1:12">
      <c r="A17" s="495" t="s">
        <v>223</v>
      </c>
      <c r="B17" s="498">
        <v>120</v>
      </c>
      <c r="C17" s="498">
        <v>101</v>
      </c>
      <c r="D17" s="498">
        <v>8</v>
      </c>
      <c r="E17" s="497">
        <v>11</v>
      </c>
      <c r="F17" s="701">
        <v>0.84199999999999997</v>
      </c>
      <c r="G17" s="702"/>
      <c r="H17" s="707"/>
      <c r="I17" s="707"/>
      <c r="J17" s="707"/>
      <c r="K17" s="707"/>
      <c r="L17" s="708"/>
    </row>
    <row r="18" spans="1:12">
      <c r="A18" s="495" t="s">
        <v>224</v>
      </c>
      <c r="B18" s="498">
        <v>120</v>
      </c>
      <c r="C18" s="496">
        <v>99</v>
      </c>
      <c r="D18" s="496">
        <v>10</v>
      </c>
      <c r="E18" s="497">
        <v>11</v>
      </c>
      <c r="F18" s="701">
        <v>0.82499999999999996</v>
      </c>
      <c r="G18" s="702"/>
      <c r="H18" s="707"/>
      <c r="I18" s="707"/>
      <c r="J18" s="707"/>
      <c r="K18" s="707"/>
      <c r="L18" s="708"/>
    </row>
    <row r="19" spans="1:12" ht="15.5">
      <c r="A19" s="689" t="s">
        <v>225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</row>
    <row r="20" spans="1:12" ht="15" customHeight="1">
      <c r="A20" s="500"/>
      <c r="B20" s="501"/>
      <c r="C20" s="502"/>
      <c r="D20" s="503"/>
      <c r="E20" s="502"/>
      <c r="F20" s="709" t="s">
        <v>210</v>
      </c>
      <c r="G20" s="710"/>
      <c r="H20" s="710"/>
      <c r="I20" s="710"/>
      <c r="J20" s="710"/>
      <c r="K20" s="710"/>
      <c r="L20" s="711"/>
    </row>
    <row r="21" spans="1:12" ht="15" customHeight="1">
      <c r="A21" s="505" t="s">
        <v>226</v>
      </c>
      <c r="B21" s="505" t="s">
        <v>227</v>
      </c>
      <c r="C21" s="505" t="s">
        <v>228</v>
      </c>
      <c r="D21" s="505" t="s">
        <v>229</v>
      </c>
      <c r="E21" s="505" t="s">
        <v>230</v>
      </c>
      <c r="F21" s="505" t="s">
        <v>231</v>
      </c>
      <c r="G21" s="505" t="s">
        <v>232</v>
      </c>
      <c r="H21" s="712"/>
      <c r="I21" s="707"/>
      <c r="J21" s="707"/>
      <c r="K21" s="707"/>
      <c r="L21" s="708"/>
    </row>
    <row r="22" spans="1:12" ht="15" customHeight="1">
      <c r="A22" s="506" t="s">
        <v>233</v>
      </c>
      <c r="B22" s="507">
        <v>0</v>
      </c>
      <c r="C22" s="507">
        <v>7525954.0099999998</v>
      </c>
      <c r="D22" s="508">
        <v>7525954.0099999998</v>
      </c>
      <c r="E22" s="509">
        <v>44942239</v>
      </c>
      <c r="F22" s="510">
        <v>59839205.689999998</v>
      </c>
      <c r="G22" s="511">
        <v>14896966.689999999</v>
      </c>
      <c r="H22" s="712"/>
      <c r="I22" s="707"/>
      <c r="J22" s="707"/>
      <c r="K22" s="707"/>
      <c r="L22" s="708"/>
    </row>
    <row r="23" spans="1:12" ht="15" customHeight="1">
      <c r="A23" s="506" t="s">
        <v>234</v>
      </c>
      <c r="B23" s="507">
        <v>0</v>
      </c>
      <c r="C23" s="507">
        <v>388679.33</v>
      </c>
      <c r="D23" s="508">
        <v>388679.33</v>
      </c>
      <c r="E23" s="509">
        <v>5264833.78</v>
      </c>
      <c r="F23" s="510">
        <v>3109434.64</v>
      </c>
      <c r="G23" s="512">
        <v>-2155399.14</v>
      </c>
      <c r="H23" s="713"/>
      <c r="I23" s="705"/>
      <c r="J23" s="705"/>
      <c r="K23" s="705"/>
      <c r="L23" s="706"/>
    </row>
    <row r="24" spans="1:12" ht="15" customHeight="1">
      <c r="A24" s="506" t="s">
        <v>235</v>
      </c>
      <c r="B24" s="507">
        <v>0</v>
      </c>
      <c r="C24" s="507">
        <v>1244604.28</v>
      </c>
      <c r="D24" s="508">
        <v>1244604.28</v>
      </c>
      <c r="E24" s="509">
        <v>3423167.05</v>
      </c>
      <c r="F24" s="510">
        <v>9956834.2400000002</v>
      </c>
      <c r="G24" s="511">
        <v>6533667.1900000004</v>
      </c>
      <c r="H24" s="712"/>
      <c r="I24" s="707"/>
      <c r="J24" s="707"/>
      <c r="K24" s="707"/>
      <c r="L24" s="708"/>
    </row>
    <row r="25" spans="1:12" ht="15" customHeight="1">
      <c r="A25" s="506" t="s">
        <v>236</v>
      </c>
      <c r="B25" s="507">
        <v>3896200.53</v>
      </c>
      <c r="C25" s="507">
        <v>2468506</v>
      </c>
      <c r="D25" s="513">
        <v>-1427694.53</v>
      </c>
      <c r="E25" s="509">
        <v>30481447.609999999</v>
      </c>
      <c r="F25" s="510">
        <v>19810376</v>
      </c>
      <c r="G25" s="512">
        <v>-10671071.609999999</v>
      </c>
      <c r="H25" s="712"/>
      <c r="I25" s="707"/>
      <c r="J25" s="707"/>
      <c r="K25" s="707"/>
      <c r="L25" s="708"/>
    </row>
    <row r="26" spans="1:12" ht="15" customHeight="1">
      <c r="A26" s="506" t="s">
        <v>237</v>
      </c>
      <c r="B26" s="507">
        <v>47869.98</v>
      </c>
      <c r="C26" s="507">
        <v>2059853</v>
      </c>
      <c r="D26" s="508">
        <v>2011983.02</v>
      </c>
      <c r="E26" s="509">
        <v>10146713.67</v>
      </c>
      <c r="F26" s="510">
        <v>16340203</v>
      </c>
      <c r="G26" s="511">
        <v>6193489.3300000001</v>
      </c>
      <c r="H26" s="712"/>
      <c r="I26" s="707"/>
      <c r="J26" s="707"/>
      <c r="K26" s="707"/>
      <c r="L26" s="708"/>
    </row>
    <row r="27" spans="1:12" ht="15" customHeight="1">
      <c r="A27" s="506" t="s">
        <v>238</v>
      </c>
      <c r="B27" s="507">
        <v>0</v>
      </c>
      <c r="C27" s="507">
        <v>132733.76999999999</v>
      </c>
      <c r="D27" s="508">
        <v>132733.76999999999</v>
      </c>
      <c r="E27" s="509">
        <v>1388245.5</v>
      </c>
      <c r="F27" s="510">
        <v>1151939.28</v>
      </c>
      <c r="G27" s="512">
        <v>-236306.22</v>
      </c>
      <c r="H27" s="712"/>
      <c r="I27" s="707"/>
      <c r="J27" s="707"/>
      <c r="K27" s="707"/>
      <c r="L27" s="708"/>
    </row>
    <row r="28" spans="1:12" ht="15" customHeight="1">
      <c r="A28" s="506" t="s">
        <v>239</v>
      </c>
      <c r="B28" s="507">
        <v>0</v>
      </c>
      <c r="C28" s="507">
        <v>6133225.0499999998</v>
      </c>
      <c r="D28" s="508">
        <v>6133225.0499999998</v>
      </c>
      <c r="E28" s="509">
        <v>51248405.659999996</v>
      </c>
      <c r="F28" s="510">
        <v>55922070.219999999</v>
      </c>
      <c r="G28" s="511">
        <v>4673664.5599999903</v>
      </c>
      <c r="H28" s="712"/>
      <c r="I28" s="707"/>
      <c r="J28" s="707"/>
      <c r="K28" s="707"/>
      <c r="L28" s="708"/>
    </row>
    <row r="29" spans="1:12" ht="15" customHeight="1">
      <c r="A29" s="506" t="s">
        <v>240</v>
      </c>
      <c r="B29" s="507">
        <v>-2421297.69</v>
      </c>
      <c r="C29" s="507">
        <v>1092474</v>
      </c>
      <c r="D29" s="508">
        <v>3513771.69</v>
      </c>
      <c r="E29" s="509">
        <v>4656306.96</v>
      </c>
      <c r="F29" s="510">
        <v>8697784</v>
      </c>
      <c r="G29" s="511">
        <v>4041477.04</v>
      </c>
      <c r="H29" s="705"/>
      <c r="I29" s="705"/>
      <c r="J29" s="705"/>
      <c r="K29" s="705"/>
      <c r="L29" s="706"/>
    </row>
    <row r="30" spans="1:12" ht="15" customHeight="1">
      <c r="A30" s="506" t="s">
        <v>241</v>
      </c>
      <c r="B30" s="507">
        <v>6082.08</v>
      </c>
      <c r="C30" s="507">
        <v>247598</v>
      </c>
      <c r="D30" s="508">
        <v>241515.92</v>
      </c>
      <c r="E30" s="509">
        <v>269924.90999999997</v>
      </c>
      <c r="F30" s="510">
        <v>1964138</v>
      </c>
      <c r="G30" s="511">
        <v>1694213.09</v>
      </c>
      <c r="H30" s="707"/>
      <c r="I30" s="707"/>
      <c r="J30" s="707"/>
      <c r="K30" s="707"/>
      <c r="L30" s="708"/>
    </row>
    <row r="31" spans="1:12" ht="15" customHeight="1">
      <c r="A31" s="514" t="s">
        <v>242</v>
      </c>
      <c r="B31" s="515">
        <v>1528854.9</v>
      </c>
      <c r="C31" s="515">
        <v>21293627.440000001</v>
      </c>
      <c r="D31" s="516">
        <v>19764772.539999999</v>
      </c>
      <c r="E31" s="517">
        <v>151821284.13999999</v>
      </c>
      <c r="F31" s="518">
        <v>176791985.06999999</v>
      </c>
      <c r="G31" s="519">
        <v>24970700.93</v>
      </c>
      <c r="H31" s="499"/>
      <c r="I31" s="499"/>
      <c r="J31" s="499"/>
      <c r="K31" s="499"/>
      <c r="L31" s="545"/>
    </row>
    <row r="32" spans="1:12" ht="15" customHeight="1">
      <c r="A32" s="520"/>
      <c r="B32" s="521"/>
      <c r="C32" s="521"/>
      <c r="D32" s="522"/>
      <c r="E32" s="521"/>
      <c r="F32" s="521"/>
      <c r="G32" s="522"/>
      <c r="H32" s="499"/>
      <c r="I32" s="499"/>
      <c r="J32" s="499"/>
      <c r="K32" s="499"/>
      <c r="L32" s="545"/>
    </row>
    <row r="33" spans="1:14" ht="15.5">
      <c r="A33" s="523"/>
      <c r="B33" s="524"/>
      <c r="C33" s="524"/>
      <c r="D33" s="524"/>
      <c r="E33" s="524"/>
      <c r="F33" s="524"/>
      <c r="G33" s="524"/>
      <c r="H33" s="524"/>
      <c r="I33" s="524"/>
      <c r="J33" s="524"/>
      <c r="K33" s="524"/>
      <c r="L33" s="546"/>
    </row>
    <row r="34" spans="1:14" ht="15.5">
      <c r="A34" s="714" t="str">
        <f>[1]Sheet1!A11</f>
        <v>TOTAL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6"/>
    </row>
    <row r="35" spans="1:14" ht="15.5">
      <c r="A35" s="525"/>
      <c r="B35" s="526"/>
      <c r="C35" s="526"/>
      <c r="D35" s="526"/>
      <c r="E35" s="526"/>
      <c r="F35" s="527"/>
      <c r="G35" s="527"/>
      <c r="H35" s="528"/>
      <c r="I35" s="528"/>
      <c r="J35" s="528"/>
      <c r="K35" s="528"/>
      <c r="L35" s="547"/>
    </row>
    <row r="36" spans="1:14" ht="15.5">
      <c r="A36" s="717">
        <f>[1]Sheet1!A12</f>
        <v>0</v>
      </c>
      <c r="B36" s="718"/>
      <c r="C36" s="718"/>
      <c r="D36" s="718"/>
      <c r="E36" s="719"/>
      <c r="F36" s="529">
        <f>[1]Sheet1!F12</f>
        <v>0</v>
      </c>
      <c r="G36" s="529">
        <f>[1]Sheet1!G12</f>
        <v>0</v>
      </c>
      <c r="H36" s="720" t="s">
        <v>210</v>
      </c>
      <c r="I36" s="699"/>
      <c r="J36" s="699"/>
      <c r="K36" s="699"/>
      <c r="L36" s="700"/>
    </row>
    <row r="37" spans="1:14" s="17" customFormat="1" ht="15.65" customHeight="1">
      <c r="A37" s="721" t="s">
        <v>243</v>
      </c>
      <c r="B37" s="722"/>
      <c r="C37" s="722"/>
      <c r="D37" s="722"/>
      <c r="E37" s="723"/>
      <c r="F37" s="533"/>
      <c r="G37" s="533"/>
      <c r="H37" s="534"/>
      <c r="I37" s="548"/>
      <c r="J37" s="531"/>
      <c r="K37" s="531"/>
      <c r="L37" s="532"/>
    </row>
    <row r="38" spans="1:14" ht="15" customHeight="1">
      <c r="A38" s="722" t="s">
        <v>244</v>
      </c>
      <c r="B38" s="722"/>
      <c r="C38" s="722"/>
      <c r="D38" s="722"/>
      <c r="E38" s="723"/>
      <c r="F38" s="533"/>
      <c r="G38" s="533"/>
      <c r="H38" s="724"/>
      <c r="I38" s="725"/>
      <c r="J38" s="725"/>
      <c r="K38" s="725"/>
      <c r="L38" s="726"/>
    </row>
    <row r="39" spans="1:14" ht="15.65" customHeight="1">
      <c r="A39" s="531" t="s">
        <v>245</v>
      </c>
      <c r="B39" s="531"/>
      <c r="C39" s="531"/>
      <c r="D39" s="531"/>
      <c r="E39" s="532"/>
      <c r="F39" s="533"/>
      <c r="G39" s="533"/>
      <c r="H39" s="721"/>
      <c r="I39" s="722"/>
      <c r="J39" s="722"/>
      <c r="K39" s="722"/>
      <c r="L39" s="723"/>
    </row>
    <row r="40" spans="1:14" ht="15.65" customHeight="1">
      <c r="A40" s="531" t="s">
        <v>246</v>
      </c>
      <c r="B40" s="531"/>
      <c r="C40" s="531"/>
      <c r="D40" s="531"/>
      <c r="E40" s="532"/>
      <c r="F40" s="533"/>
      <c r="G40" s="533"/>
      <c r="H40" s="530"/>
      <c r="I40" s="549"/>
      <c r="J40" s="549"/>
      <c r="K40" s="549"/>
      <c r="L40" s="23"/>
    </row>
    <row r="41" spans="1:14" ht="15.65" customHeight="1">
      <c r="A41" s="531" t="s">
        <v>247</v>
      </c>
      <c r="B41" s="531"/>
      <c r="C41" s="531"/>
      <c r="D41" s="531"/>
      <c r="E41" s="532"/>
      <c r="F41" s="533"/>
      <c r="G41" s="533"/>
      <c r="H41" s="530"/>
      <c r="I41" s="549"/>
      <c r="J41" s="549"/>
      <c r="K41" s="549"/>
      <c r="L41" s="23"/>
    </row>
    <row r="42" spans="1:14" ht="15.65" customHeight="1">
      <c r="A42" s="722" t="s">
        <v>248</v>
      </c>
      <c r="B42" s="722"/>
      <c r="C42" s="722"/>
      <c r="D42" s="722"/>
      <c r="E42" s="723"/>
      <c r="F42" s="533"/>
      <c r="G42" s="533"/>
      <c r="H42" s="530"/>
      <c r="I42" s="549"/>
      <c r="J42" s="549"/>
      <c r="K42" s="549"/>
      <c r="L42" s="23"/>
    </row>
    <row r="43" spans="1:14" ht="15.65" customHeight="1">
      <c r="A43" s="722"/>
      <c r="B43" s="722"/>
      <c r="C43" s="722"/>
      <c r="D43" s="722"/>
      <c r="E43" s="723"/>
      <c r="F43" s="533"/>
      <c r="G43" s="533"/>
      <c r="H43" s="530"/>
      <c r="I43" s="549"/>
      <c r="J43" s="549"/>
      <c r="K43" s="549"/>
      <c r="L43" s="23"/>
    </row>
    <row r="44" spans="1:14" ht="15.5">
      <c r="A44" s="689"/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</row>
    <row r="45" spans="1:14" ht="18.5">
      <c r="A45" s="535"/>
      <c r="B45" s="485" t="s">
        <v>220</v>
      </c>
      <c r="C45" s="485" t="s">
        <v>221</v>
      </c>
      <c r="D45" s="485" t="s">
        <v>249</v>
      </c>
      <c r="E45" s="485" t="s">
        <v>223</v>
      </c>
      <c r="F45" s="485" t="s">
        <v>250</v>
      </c>
      <c r="G45" s="536" t="s">
        <v>251</v>
      </c>
      <c r="H45" s="537"/>
      <c r="I45" s="502" t="s">
        <v>252</v>
      </c>
      <c r="J45" s="504"/>
      <c r="K45" s="494"/>
      <c r="L45" s="492"/>
    </row>
    <row r="46" spans="1:14" ht="45" customHeight="1">
      <c r="A46" s="495" t="s">
        <v>18</v>
      </c>
      <c r="B46" s="538">
        <v>0.97</v>
      </c>
      <c r="C46" s="538">
        <v>0.97</v>
      </c>
      <c r="D46" s="538">
        <v>0.98</v>
      </c>
      <c r="E46" s="538">
        <v>0.94</v>
      </c>
      <c r="F46" s="538">
        <v>0.71</v>
      </c>
      <c r="G46" s="538">
        <f>AVERAGE(B46:F46)</f>
        <v>0.91400000000000003</v>
      </c>
      <c r="H46" s="727" t="s">
        <v>261</v>
      </c>
      <c r="I46" s="727"/>
      <c r="J46" s="727"/>
      <c r="K46" s="727"/>
      <c r="L46" s="728"/>
      <c r="N46" s="19"/>
    </row>
    <row r="47" spans="1:14" ht="34" customHeight="1">
      <c r="A47" s="489" t="s">
        <v>24</v>
      </c>
      <c r="B47" s="538">
        <v>0.97</v>
      </c>
      <c r="C47" s="538">
        <v>0.97</v>
      </c>
      <c r="D47" s="538">
        <v>0.95</v>
      </c>
      <c r="E47" s="538">
        <v>0.87</v>
      </c>
      <c r="F47" s="538">
        <v>0.69</v>
      </c>
      <c r="G47" s="538">
        <f>AVERAGE(B47:F47)</f>
        <v>0.89</v>
      </c>
      <c r="H47" s="727" t="s">
        <v>262</v>
      </c>
      <c r="I47" s="729"/>
      <c r="J47" s="729"/>
      <c r="K47" s="729"/>
      <c r="L47" s="730"/>
      <c r="N47" s="19"/>
    </row>
    <row r="48" spans="1:14" ht="51.65" customHeight="1">
      <c r="A48" s="489" t="s">
        <v>30</v>
      </c>
      <c r="B48" s="538">
        <v>0.98</v>
      </c>
      <c r="C48" s="538">
        <v>1</v>
      </c>
      <c r="D48" s="538">
        <v>0.74</v>
      </c>
      <c r="E48" s="538">
        <v>0.57999999999999996</v>
      </c>
      <c r="F48" s="538">
        <v>0.83</v>
      </c>
      <c r="G48" s="538">
        <f>AVERAGE(B48:F48)</f>
        <v>0.82599999999999996</v>
      </c>
      <c r="H48" s="727" t="s">
        <v>253</v>
      </c>
      <c r="I48" s="727"/>
      <c r="J48" s="727"/>
      <c r="K48" s="727"/>
      <c r="L48" s="728"/>
      <c r="N48" s="19"/>
    </row>
    <row r="49" spans="1:14" ht="30" customHeight="1">
      <c r="A49" s="489" t="s">
        <v>254</v>
      </c>
      <c r="B49" s="538">
        <v>0.66</v>
      </c>
      <c r="C49" s="538">
        <v>0.57999999999999996</v>
      </c>
      <c r="D49" s="538">
        <v>0.71</v>
      </c>
      <c r="E49" s="538">
        <v>0.63</v>
      </c>
      <c r="F49" s="538">
        <v>0.47</v>
      </c>
      <c r="G49" s="538">
        <f>AVERAGE(B49:F49)</f>
        <v>0.61</v>
      </c>
      <c r="H49" s="727" t="s">
        <v>255</v>
      </c>
      <c r="I49" s="729"/>
      <c r="J49" s="729"/>
      <c r="K49" s="729"/>
      <c r="L49" s="730"/>
      <c r="N49" s="19"/>
    </row>
    <row r="50" spans="1:14" ht="29" customHeight="1">
      <c r="A50" s="489" t="s">
        <v>256</v>
      </c>
      <c r="B50" s="538">
        <v>1</v>
      </c>
      <c r="C50" s="538">
        <v>1</v>
      </c>
      <c r="D50" s="538">
        <v>0.87</v>
      </c>
      <c r="E50" s="538">
        <v>0.56999999999999995</v>
      </c>
      <c r="F50" s="538">
        <v>0.84</v>
      </c>
      <c r="G50" s="538">
        <f>AVERAGE(B50:F50)</f>
        <v>0.85599999999999998</v>
      </c>
      <c r="H50" s="727"/>
      <c r="I50" s="727"/>
      <c r="J50" s="727"/>
      <c r="K50" s="727"/>
      <c r="L50" s="728"/>
      <c r="N50" s="19"/>
    </row>
    <row r="51" spans="1:14">
      <c r="A51" s="489" t="s">
        <v>257</v>
      </c>
      <c r="B51" s="731"/>
      <c r="C51" s="732"/>
      <c r="D51" s="732"/>
      <c r="E51" s="732"/>
      <c r="F51" s="733"/>
      <c r="G51" s="538">
        <f>AVERAGE(G46:G50)</f>
        <v>0.81920000000000004</v>
      </c>
      <c r="H51" s="734"/>
      <c r="I51" s="735"/>
      <c r="J51" s="735"/>
      <c r="K51" s="735"/>
      <c r="L51" s="736"/>
    </row>
    <row r="52" spans="1:14">
      <c r="A52" s="737" t="s">
        <v>258</v>
      </c>
      <c r="B52" s="737"/>
      <c r="C52" s="737"/>
      <c r="D52" s="737"/>
      <c r="E52" s="737"/>
      <c r="F52" s="737"/>
      <c r="G52" s="737"/>
      <c r="H52" s="737"/>
      <c r="I52" s="737"/>
      <c r="J52" s="737"/>
      <c r="K52" s="737"/>
      <c r="L52" s="737"/>
    </row>
    <row r="53" spans="1:14">
      <c r="A53" s="539"/>
      <c r="B53" s="486" t="s">
        <v>259</v>
      </c>
      <c r="C53" s="486" t="s">
        <v>216</v>
      </c>
      <c r="D53" s="699" t="s">
        <v>260</v>
      </c>
      <c r="E53" s="699"/>
      <c r="F53" s="699"/>
      <c r="G53" s="699"/>
      <c r="H53" s="699"/>
      <c r="I53" s="699"/>
      <c r="J53" s="699"/>
      <c r="K53" s="699"/>
      <c r="L53" s="700"/>
    </row>
    <row r="54" spans="1:14">
      <c r="A54" s="495" t="s">
        <v>18</v>
      </c>
      <c r="B54" s="540">
        <v>2</v>
      </c>
      <c r="C54" s="540">
        <v>4</v>
      </c>
      <c r="D54" s="738" t="s">
        <v>261</v>
      </c>
      <c r="E54" s="739"/>
      <c r="F54" s="739"/>
      <c r="G54" s="739"/>
      <c r="H54" s="739"/>
      <c r="I54" s="739"/>
      <c r="J54" s="739"/>
      <c r="K54" s="739"/>
      <c r="L54" s="740"/>
    </row>
    <row r="55" spans="1:14">
      <c r="A55" s="489" t="s">
        <v>24</v>
      </c>
      <c r="B55" s="540">
        <v>1</v>
      </c>
      <c r="C55" s="540">
        <v>4</v>
      </c>
      <c r="D55" s="738" t="s">
        <v>262</v>
      </c>
      <c r="E55" s="739"/>
      <c r="F55" s="739"/>
      <c r="G55" s="739"/>
      <c r="H55" s="739"/>
      <c r="I55" s="739"/>
      <c r="J55" s="739"/>
      <c r="K55" s="739"/>
      <c r="L55" s="740"/>
    </row>
    <row r="56" spans="1:14" ht="21.65" customHeight="1">
      <c r="A56" s="489" t="s">
        <v>12</v>
      </c>
      <c r="B56" s="541">
        <v>3</v>
      </c>
      <c r="C56" s="540">
        <v>6</v>
      </c>
      <c r="D56" s="738" t="s">
        <v>255</v>
      </c>
      <c r="E56" s="741"/>
      <c r="F56" s="741"/>
      <c r="G56" s="741"/>
      <c r="H56" s="741"/>
      <c r="I56" s="741"/>
      <c r="J56" s="741"/>
      <c r="K56" s="741"/>
      <c r="L56" s="741"/>
    </row>
    <row r="57" spans="1:14" ht="15" customHeight="1">
      <c r="A57" s="489" t="s">
        <v>15</v>
      </c>
      <c r="B57" s="540">
        <v>5</v>
      </c>
      <c r="C57" s="540">
        <v>5</v>
      </c>
      <c r="D57" s="738"/>
      <c r="E57" s="739"/>
      <c r="F57" s="739"/>
      <c r="G57" s="739"/>
      <c r="H57" s="739"/>
      <c r="I57" s="739"/>
      <c r="J57" s="739"/>
      <c r="K57" s="739"/>
      <c r="L57" s="740"/>
    </row>
    <row r="58" spans="1:14" ht="15" customHeight="1">
      <c r="A58" s="489" t="s">
        <v>30</v>
      </c>
      <c r="B58" s="541">
        <v>3</v>
      </c>
      <c r="C58" s="540">
        <v>4</v>
      </c>
      <c r="D58" s="738" t="s">
        <v>263</v>
      </c>
      <c r="E58" s="739"/>
      <c r="F58" s="739"/>
      <c r="G58" s="739"/>
      <c r="H58" s="739"/>
      <c r="I58" s="739"/>
      <c r="J58" s="739"/>
      <c r="K58" s="739"/>
      <c r="L58" s="740"/>
      <c r="N58" s="158"/>
    </row>
    <row r="59" spans="1:14">
      <c r="A59" s="489" t="s">
        <v>264</v>
      </c>
      <c r="B59" s="540">
        <v>1</v>
      </c>
      <c r="C59" s="540">
        <v>2</v>
      </c>
      <c r="D59" s="738" t="s">
        <v>265</v>
      </c>
      <c r="E59" s="739"/>
      <c r="F59" s="739"/>
      <c r="G59" s="739"/>
      <c r="H59" s="739"/>
      <c r="I59" s="739"/>
      <c r="J59" s="739"/>
      <c r="K59" s="739"/>
      <c r="L59" s="740"/>
      <c r="N59" s="550"/>
    </row>
    <row r="60" spans="1:14" ht="15" customHeight="1">
      <c r="A60" s="489" t="s">
        <v>266</v>
      </c>
      <c r="B60" s="540">
        <v>3</v>
      </c>
      <c r="C60" s="540">
        <v>5</v>
      </c>
      <c r="D60" s="738" t="s">
        <v>267</v>
      </c>
      <c r="E60" s="739"/>
      <c r="F60" s="739"/>
      <c r="G60" s="739"/>
      <c r="H60" s="739"/>
      <c r="I60" s="739"/>
      <c r="J60" s="739"/>
      <c r="K60" s="739"/>
      <c r="L60" s="740"/>
      <c r="N60" s="550"/>
    </row>
    <row r="61" spans="1:14">
      <c r="A61" s="737" t="s">
        <v>268</v>
      </c>
      <c r="B61" s="737"/>
      <c r="C61" s="737"/>
      <c r="D61" s="737"/>
      <c r="E61" s="737"/>
      <c r="F61" s="737"/>
      <c r="G61" s="737"/>
      <c r="H61" s="737"/>
      <c r="I61" s="737"/>
      <c r="J61" s="737"/>
      <c r="K61" s="737"/>
      <c r="L61" s="737"/>
      <c r="N61" s="158"/>
    </row>
    <row r="62" spans="1:14" ht="28.25" customHeight="1">
      <c r="A62" s="750" t="s">
        <v>269</v>
      </c>
      <c r="B62" s="750" t="s">
        <v>216</v>
      </c>
      <c r="C62" s="750" t="s">
        <v>119</v>
      </c>
      <c r="D62" s="750" t="s">
        <v>270</v>
      </c>
      <c r="E62" s="709" t="s">
        <v>271</v>
      </c>
      <c r="F62" s="710"/>
      <c r="G62" s="710"/>
      <c r="H62" s="710"/>
      <c r="I62" s="710"/>
      <c r="J62" s="711"/>
      <c r="K62" s="742" t="s">
        <v>272</v>
      </c>
      <c r="L62" s="742"/>
      <c r="N62" s="79"/>
    </row>
    <row r="63" spans="1:14">
      <c r="A63" s="751"/>
      <c r="B63" s="751"/>
      <c r="C63" s="751"/>
      <c r="D63" s="751"/>
      <c r="E63" s="752"/>
      <c r="F63" s="753"/>
      <c r="G63" s="753"/>
      <c r="H63" s="753"/>
      <c r="I63" s="753"/>
      <c r="J63" s="754"/>
      <c r="K63" s="489" t="s">
        <v>273</v>
      </c>
      <c r="L63" s="489" t="s">
        <v>274</v>
      </c>
      <c r="N63" s="79"/>
    </row>
    <row r="64" spans="1:14" ht="14.4" customHeight="1">
      <c r="A64" s="24" t="s">
        <v>15</v>
      </c>
      <c r="B64" s="542"/>
      <c r="C64" s="63"/>
      <c r="D64" s="543" t="e">
        <f>C64/B64</f>
        <v>#DIV/0!</v>
      </c>
      <c r="E64" s="743"/>
      <c r="F64" s="743"/>
      <c r="G64" s="743"/>
      <c r="H64" s="743"/>
      <c r="I64" s="743"/>
      <c r="J64" s="743"/>
      <c r="K64" s="551"/>
      <c r="L64" s="552"/>
    </row>
    <row r="65" spans="1:12" ht="15.65" customHeight="1">
      <c r="A65" s="24" t="s">
        <v>12</v>
      </c>
      <c r="B65" s="542">
        <v>1</v>
      </c>
      <c r="C65" s="63">
        <v>1</v>
      </c>
      <c r="D65" s="543">
        <f t="shared" ref="D65:D70" si="0">C65/B65</f>
        <v>1</v>
      </c>
      <c r="E65" s="743"/>
      <c r="F65" s="743"/>
      <c r="G65" s="743"/>
      <c r="H65" s="743"/>
      <c r="I65" s="743"/>
      <c r="J65" s="743"/>
      <c r="K65" s="551">
        <v>1</v>
      </c>
      <c r="L65" s="552"/>
    </row>
    <row r="66" spans="1:12" ht="15" customHeight="1">
      <c r="A66" s="24" t="s">
        <v>18</v>
      </c>
      <c r="B66" s="542">
        <v>2</v>
      </c>
      <c r="C66" s="65">
        <v>2</v>
      </c>
      <c r="D66" s="543">
        <f t="shared" si="0"/>
        <v>1</v>
      </c>
      <c r="E66" s="743"/>
      <c r="F66" s="743"/>
      <c r="G66" s="743"/>
      <c r="H66" s="743"/>
      <c r="I66" s="743"/>
      <c r="J66" s="743"/>
      <c r="K66" s="63">
        <v>2</v>
      </c>
      <c r="L66" s="552"/>
    </row>
    <row r="67" spans="1:12" ht="15" customHeight="1">
      <c r="A67" s="24" t="s">
        <v>24</v>
      </c>
      <c r="B67" s="542">
        <v>3</v>
      </c>
      <c r="C67" s="65">
        <v>2</v>
      </c>
      <c r="D67" s="543">
        <f t="shared" si="0"/>
        <v>0.66666666666666696</v>
      </c>
      <c r="E67" s="744" t="s">
        <v>275</v>
      </c>
      <c r="F67" s="744"/>
      <c r="G67" s="744"/>
      <c r="H67" s="744"/>
      <c r="I67" s="744"/>
      <c r="J67" s="744"/>
      <c r="K67" s="555">
        <v>1</v>
      </c>
      <c r="L67" s="555"/>
    </row>
    <row r="68" spans="1:12" ht="15" customHeight="1">
      <c r="A68" s="24" t="s">
        <v>30</v>
      </c>
      <c r="B68" s="542">
        <v>2</v>
      </c>
      <c r="C68" s="63">
        <v>1</v>
      </c>
      <c r="D68" s="543">
        <f t="shared" si="0"/>
        <v>0.5</v>
      </c>
      <c r="E68" s="744" t="s">
        <v>276</v>
      </c>
      <c r="F68" s="744"/>
      <c r="G68" s="744"/>
      <c r="H68" s="744"/>
      <c r="I68" s="744"/>
      <c r="J68" s="744"/>
      <c r="K68" s="555">
        <v>1</v>
      </c>
      <c r="L68" s="555"/>
    </row>
    <row r="69" spans="1:12" ht="15" customHeight="1">
      <c r="A69" s="24" t="s">
        <v>277</v>
      </c>
      <c r="B69" s="542"/>
      <c r="C69" s="63"/>
      <c r="D69" s="543" t="e">
        <f t="shared" si="0"/>
        <v>#DIV/0!</v>
      </c>
      <c r="E69" s="745"/>
      <c r="F69" s="745"/>
      <c r="G69" s="745"/>
      <c r="H69" s="745"/>
      <c r="I69" s="745"/>
      <c r="J69" s="745"/>
      <c r="K69" s="556"/>
      <c r="L69" s="555"/>
    </row>
    <row r="70" spans="1:12" ht="24.9" customHeight="1">
      <c r="A70" s="24" t="s">
        <v>127</v>
      </c>
      <c r="B70" s="542">
        <v>5</v>
      </c>
      <c r="C70" s="63">
        <v>4</v>
      </c>
      <c r="D70" s="543">
        <f t="shared" si="0"/>
        <v>0.8</v>
      </c>
      <c r="E70" s="744" t="s">
        <v>278</v>
      </c>
      <c r="F70" s="744"/>
      <c r="G70" s="744"/>
      <c r="H70" s="744"/>
      <c r="I70" s="744"/>
      <c r="J70" s="744"/>
      <c r="K70" s="556">
        <v>1</v>
      </c>
      <c r="L70" s="556"/>
    </row>
    <row r="71" spans="1:12">
      <c r="A71" s="746" t="s">
        <v>279</v>
      </c>
      <c r="B71" s="746"/>
      <c r="C71" s="746"/>
      <c r="D71" s="746"/>
      <c r="E71" s="746"/>
      <c r="F71" s="746"/>
      <c r="G71" s="746"/>
      <c r="H71" s="746"/>
      <c r="I71" s="746"/>
      <c r="J71" s="746"/>
      <c r="K71" s="746"/>
      <c r="L71" s="746"/>
    </row>
    <row r="72" spans="1:12">
      <c r="A72" s="750" t="s">
        <v>269</v>
      </c>
      <c r="B72" s="709" t="s">
        <v>280</v>
      </c>
      <c r="C72" s="710"/>
      <c r="D72" s="711"/>
      <c r="E72" s="709" t="s">
        <v>281</v>
      </c>
      <c r="F72" s="710"/>
      <c r="G72" s="710"/>
      <c r="H72" s="710"/>
      <c r="I72" s="710"/>
      <c r="J72" s="711"/>
      <c r="K72" s="709" t="s">
        <v>282</v>
      </c>
      <c r="L72" s="711"/>
    </row>
    <row r="73" spans="1:12">
      <c r="A73" s="751"/>
      <c r="B73" s="752"/>
      <c r="C73" s="753"/>
      <c r="D73" s="754"/>
      <c r="E73" s="752"/>
      <c r="F73" s="753"/>
      <c r="G73" s="753"/>
      <c r="H73" s="753"/>
      <c r="I73" s="753"/>
      <c r="J73" s="754"/>
      <c r="K73" s="752"/>
      <c r="L73" s="754"/>
    </row>
    <row r="74" spans="1:12">
      <c r="A74" s="553"/>
      <c r="B74" s="530"/>
      <c r="C74" s="549"/>
      <c r="D74" s="23"/>
      <c r="E74" s="530"/>
      <c r="F74" s="531"/>
      <c r="G74" s="531"/>
      <c r="H74" s="531"/>
      <c r="I74" s="531"/>
      <c r="J74" s="531"/>
      <c r="K74" s="747"/>
      <c r="L74" s="747"/>
    </row>
    <row r="75" spans="1:12">
      <c r="A75" s="554"/>
      <c r="B75" s="691"/>
      <c r="C75" s="691"/>
      <c r="D75" s="691"/>
      <c r="E75" s="691"/>
      <c r="F75" s="691"/>
      <c r="G75" s="691"/>
      <c r="H75" s="691"/>
      <c r="I75" s="691"/>
      <c r="J75" s="691"/>
      <c r="K75" s="747"/>
      <c r="L75" s="747"/>
    </row>
    <row r="76" spans="1:12">
      <c r="A76" s="554"/>
      <c r="B76" s="691"/>
      <c r="C76" s="691"/>
      <c r="D76" s="691"/>
      <c r="E76" s="691"/>
      <c r="F76" s="691"/>
      <c r="G76" s="691"/>
      <c r="H76" s="691"/>
      <c r="I76" s="691"/>
      <c r="J76" s="691"/>
      <c r="K76" s="748"/>
      <c r="L76" s="749"/>
    </row>
    <row r="77" spans="1:12">
      <c r="A77" s="24"/>
      <c r="B77" s="691"/>
      <c r="C77" s="691"/>
      <c r="D77" s="691"/>
      <c r="E77" s="691"/>
      <c r="F77" s="691"/>
      <c r="G77" s="691"/>
      <c r="H77" s="691"/>
      <c r="I77" s="691"/>
      <c r="J77" s="691"/>
      <c r="K77" s="749"/>
      <c r="L77" s="749"/>
    </row>
    <row r="78" spans="1:12">
      <c r="A78" s="24"/>
      <c r="B78" s="749"/>
      <c r="C78" s="749"/>
      <c r="D78" s="749"/>
      <c r="E78" s="749"/>
      <c r="F78" s="749"/>
      <c r="G78" s="749"/>
      <c r="H78" s="749"/>
      <c r="I78" s="749"/>
      <c r="J78" s="749"/>
      <c r="K78" s="749"/>
      <c r="L78" s="749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0" priority="5" operator="greaterThan">
      <formula>0.849</formula>
    </cfRule>
    <cfRule type="cellIs" dxfId="19" priority="6" operator="between">
      <formula>0.01</formula>
      <formula>0.799</formula>
    </cfRule>
    <cfRule type="cellIs" dxfId="18" priority="7" operator="between">
      <formula>0.8</formula>
      <formula>0.849</formula>
    </cfRule>
  </conditionalFormatting>
  <conditionalFormatting sqref="E70">
    <cfRule type="cellIs" dxfId="17" priority="1" operator="equal">
      <formula>"No"</formula>
    </cfRule>
    <cfRule type="cellIs" dxfId="16" priority="2" operator="equal">
      <formula>"Yes"</formula>
    </cfRule>
    <cfRule type="containsText" dxfId="15" priority="3" operator="containsText" text="Yes">
      <formula>NOT(ISERROR(SEARCH("Yes",E70)))</formula>
    </cfRule>
    <cfRule type="containsText" dxfId="14" priority="4" operator="containsText" text="No">
      <formula>NOT(ISERROR(SEARCH("No",E70)))</formula>
    </cfRule>
  </conditionalFormatting>
  <conditionalFormatting sqref="G46:G51 B51">
    <cfRule type="cellIs" dxfId="13" priority="10" operator="greaterThan">
      <formula>0.849</formula>
    </cfRule>
    <cfRule type="cellIs" dxfId="12" priority="11" operator="between">
      <formula>0.01</formula>
      <formula>0.799</formula>
    </cfRule>
    <cfRule type="cellIs" dxfId="11" priority="12" operator="between">
      <formula>0.8</formula>
      <formula>0.849</formula>
    </cfRule>
  </conditionalFormatting>
  <conditionalFormatting sqref="G51">
    <cfRule type="cellIs" dxfId="10" priority="13" operator="greaterThan">
      <formula>0.84</formula>
    </cfRule>
  </conditionalFormatting>
  <conditionalFormatting sqref="L3:L4">
    <cfRule type="cellIs" dxfId="9" priority="120" operator="lessThan">
      <formula>0</formula>
    </cfRule>
    <cfRule type="cellIs" dxfId="8" priority="121" operator="greaterThan">
      <formula>0</formula>
    </cfRule>
  </conditionalFormatting>
  <pageMargins left="0.25" right="0.25" top="0.75" bottom="0.75" header="0.3" footer="0.3"/>
  <pageSetup paperSize="9" scale="43" fitToHeight="0" orientation="landscape"/>
  <ignoredErrors>
    <ignoredError sqref="D68:D69 D6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08984375" defaultRowHeight="15.5"/>
  <cols>
    <col min="1" max="1" width="28.08984375" style="170" customWidth="1"/>
    <col min="2" max="2" width="42.54296875" style="170" customWidth="1"/>
    <col min="3" max="3" width="39.08984375" style="170" customWidth="1"/>
    <col min="4" max="4" width="34.36328125" style="170" customWidth="1"/>
    <col min="5" max="5" width="41.08984375" style="170" customWidth="1"/>
    <col min="6" max="6" width="34.453125" style="170" customWidth="1"/>
    <col min="7" max="7" width="24.36328125" style="170" customWidth="1"/>
    <col min="8" max="8" width="27.453125" style="170" customWidth="1"/>
    <col min="9" max="9" width="14.36328125" style="170" customWidth="1"/>
    <col min="10" max="10" width="32.08984375" style="170" customWidth="1"/>
    <col min="11" max="16384" width="9.08984375" style="170"/>
  </cols>
  <sheetData>
    <row r="1" spans="1:8">
      <c r="A1" s="755" t="s">
        <v>0</v>
      </c>
      <c r="B1" s="756"/>
      <c r="C1" s="756"/>
      <c r="D1" s="756"/>
      <c r="E1" s="756"/>
      <c r="F1" s="756"/>
      <c r="G1" s="756"/>
      <c r="H1" s="757"/>
    </row>
    <row r="2" spans="1:8">
      <c r="A2" s="419"/>
      <c r="B2" s="420" t="s">
        <v>1</v>
      </c>
      <c r="C2" s="421">
        <v>44942</v>
      </c>
      <c r="D2" s="422" t="s">
        <v>283</v>
      </c>
      <c r="E2" s="423">
        <f>C2+6</f>
        <v>44948</v>
      </c>
      <c r="H2" s="424"/>
    </row>
    <row r="3" spans="1:8">
      <c r="A3" s="419"/>
      <c r="H3" s="424"/>
    </row>
    <row r="4" spans="1:8">
      <c r="A4" s="419"/>
      <c r="B4" s="425">
        <f>C2</f>
        <v>44942</v>
      </c>
      <c r="C4" s="426">
        <f t="shared" ref="C4:H4" si="0">B4+1</f>
        <v>44943</v>
      </c>
      <c r="D4" s="426">
        <f t="shared" si="0"/>
        <v>44944</v>
      </c>
      <c r="E4" s="426">
        <f t="shared" si="0"/>
        <v>44945</v>
      </c>
      <c r="F4" s="427">
        <f t="shared" si="0"/>
        <v>44946</v>
      </c>
      <c r="G4" s="428">
        <f t="shared" si="0"/>
        <v>44947</v>
      </c>
      <c r="H4" s="429">
        <f t="shared" si="0"/>
        <v>44948</v>
      </c>
    </row>
    <row r="5" spans="1:8">
      <c r="A5" s="430" t="s">
        <v>4</v>
      </c>
      <c r="B5" s="431" t="s">
        <v>5</v>
      </c>
      <c r="C5" s="432" t="s">
        <v>6</v>
      </c>
      <c r="D5" s="432" t="s">
        <v>7</v>
      </c>
      <c r="E5" s="433" t="s">
        <v>8</v>
      </c>
      <c r="F5" s="434" t="s">
        <v>9</v>
      </c>
      <c r="G5" s="435" t="s">
        <v>10</v>
      </c>
      <c r="H5" s="436" t="s">
        <v>11</v>
      </c>
    </row>
    <row r="6" spans="1:8">
      <c r="A6" s="758" t="s">
        <v>284</v>
      </c>
      <c r="B6" s="437"/>
      <c r="C6" s="438" t="s">
        <v>285</v>
      </c>
      <c r="D6" s="438"/>
      <c r="E6" s="438" t="s">
        <v>286</v>
      </c>
      <c r="F6" s="438"/>
      <c r="G6" s="438"/>
      <c r="H6" s="439"/>
    </row>
    <row r="7" spans="1:8">
      <c r="A7" s="759"/>
      <c r="B7" s="440"/>
      <c r="C7" s="441" t="s">
        <v>287</v>
      </c>
      <c r="D7" s="442"/>
      <c r="E7" s="442"/>
      <c r="F7" s="442"/>
      <c r="G7" s="442"/>
      <c r="H7" s="443"/>
    </row>
    <row r="8" spans="1:8">
      <c r="A8" s="759"/>
      <c r="B8" s="444"/>
      <c r="C8" s="442" t="s">
        <v>288</v>
      </c>
      <c r="D8" s="442"/>
      <c r="E8" s="442" t="s">
        <v>289</v>
      </c>
      <c r="F8" s="442"/>
      <c r="G8" s="442"/>
      <c r="H8" s="443"/>
    </row>
    <row r="9" spans="1:8">
      <c r="A9" s="759"/>
      <c r="B9" s="444"/>
      <c r="C9" s="442"/>
      <c r="D9" s="442"/>
      <c r="E9" s="442"/>
      <c r="F9" s="442"/>
      <c r="G9" s="442"/>
      <c r="H9" s="443"/>
    </row>
    <row r="10" spans="1:8">
      <c r="A10" s="759"/>
      <c r="B10" s="444"/>
      <c r="C10" s="442"/>
      <c r="D10" s="442"/>
      <c r="E10" s="442"/>
      <c r="F10" s="442"/>
      <c r="G10" s="442"/>
      <c r="H10" s="443"/>
    </row>
    <row r="11" spans="1:8">
      <c r="A11" s="759"/>
      <c r="B11" s="444"/>
      <c r="C11" s="442"/>
      <c r="D11" s="442"/>
      <c r="E11" s="442"/>
      <c r="F11" s="442"/>
      <c r="G11" s="442"/>
      <c r="H11" s="443"/>
    </row>
    <row r="12" spans="1:8">
      <c r="A12" s="759"/>
      <c r="B12" s="445"/>
      <c r="C12" s="446"/>
      <c r="D12" s="447"/>
      <c r="E12" s="442"/>
      <c r="F12" s="442"/>
      <c r="G12" s="442"/>
      <c r="H12" s="443"/>
    </row>
    <row r="13" spans="1:8">
      <c r="A13" s="759"/>
      <c r="B13" s="448"/>
      <c r="C13" s="449"/>
      <c r="D13" s="447"/>
      <c r="E13" s="442"/>
      <c r="F13" s="442"/>
      <c r="G13" s="442"/>
      <c r="H13" s="443"/>
    </row>
    <row r="14" spans="1:8">
      <c r="A14" s="759"/>
      <c r="B14" s="440"/>
      <c r="C14" s="441"/>
      <c r="D14" s="447"/>
      <c r="E14" s="442"/>
      <c r="F14" s="442"/>
      <c r="G14" s="442"/>
      <c r="H14" s="443"/>
    </row>
    <row r="15" spans="1:8">
      <c r="A15" s="759"/>
      <c r="B15" s="450"/>
      <c r="C15" s="451"/>
      <c r="D15" s="452"/>
      <c r="E15" s="453"/>
      <c r="F15" s="453"/>
      <c r="G15" s="453"/>
      <c r="H15" s="454"/>
    </row>
    <row r="16" spans="1:8">
      <c r="A16" s="758" t="s">
        <v>15</v>
      </c>
      <c r="B16" s="455"/>
      <c r="C16" s="456"/>
      <c r="D16" s="456"/>
      <c r="E16" s="456"/>
      <c r="F16" s="456"/>
      <c r="G16" s="456"/>
      <c r="H16" s="439"/>
    </row>
    <row r="17" spans="1:8">
      <c r="A17" s="759"/>
      <c r="B17" s="457"/>
      <c r="C17" s="458"/>
      <c r="D17" s="458"/>
      <c r="E17" s="459"/>
      <c r="F17" s="459"/>
      <c r="G17" s="459"/>
      <c r="H17" s="443"/>
    </row>
    <row r="18" spans="1:8">
      <c r="A18" s="759"/>
      <c r="B18" s="457"/>
      <c r="C18" s="458"/>
      <c r="D18" s="458"/>
      <c r="E18" s="459"/>
      <c r="F18" s="459"/>
      <c r="G18" s="459"/>
      <c r="H18" s="443"/>
    </row>
    <row r="19" spans="1:8">
      <c r="A19" s="759"/>
      <c r="B19" s="457"/>
      <c r="C19" s="458"/>
      <c r="D19" s="458"/>
      <c r="E19" s="459"/>
      <c r="F19" s="459"/>
      <c r="G19" s="459"/>
      <c r="H19" s="443"/>
    </row>
    <row r="20" spans="1:8">
      <c r="A20" s="759"/>
      <c r="B20" s="457"/>
      <c r="C20" s="458"/>
      <c r="D20" s="458"/>
      <c r="E20" s="459"/>
      <c r="F20" s="459"/>
      <c r="G20" s="459"/>
      <c r="H20" s="443"/>
    </row>
    <row r="21" spans="1:8">
      <c r="A21" s="759"/>
      <c r="B21" s="460"/>
      <c r="C21" s="459"/>
      <c r="D21" s="459"/>
      <c r="E21" s="459"/>
      <c r="F21" s="459"/>
      <c r="G21" s="459"/>
      <c r="H21" s="443"/>
    </row>
    <row r="22" spans="1:8">
      <c r="A22" s="759"/>
      <c r="B22" s="460"/>
      <c r="C22" s="459"/>
      <c r="D22" s="461"/>
      <c r="E22" s="442"/>
      <c r="F22" s="442"/>
      <c r="G22" s="459"/>
      <c r="H22" s="443"/>
    </row>
    <row r="23" spans="1:8">
      <c r="A23" s="759"/>
      <c r="B23" s="460"/>
      <c r="C23" s="459"/>
      <c r="D23" s="449"/>
      <c r="E23" s="442"/>
      <c r="F23" s="442"/>
      <c r="G23" s="459"/>
      <c r="H23" s="443"/>
    </row>
    <row r="24" spans="1:8">
      <c r="A24" s="759"/>
      <c r="B24" s="444"/>
      <c r="C24" s="442"/>
      <c r="D24" s="449"/>
      <c r="E24" s="442"/>
      <c r="F24" s="442"/>
      <c r="G24" s="442"/>
      <c r="H24" s="443"/>
    </row>
    <row r="25" spans="1:8" ht="16.5">
      <c r="A25" s="760"/>
      <c r="B25" s="462"/>
      <c r="C25" s="453"/>
      <c r="D25" s="451"/>
      <c r="E25" s="453"/>
      <c r="F25" s="453"/>
      <c r="G25" s="453"/>
      <c r="H25" s="454"/>
    </row>
    <row r="26" spans="1:8">
      <c r="A26" s="758" t="s">
        <v>290</v>
      </c>
      <c r="B26" s="438" t="s">
        <v>291</v>
      </c>
      <c r="C26" s="438"/>
      <c r="D26" s="438"/>
      <c r="E26" s="438" t="s">
        <v>292</v>
      </c>
      <c r="F26" s="438"/>
      <c r="G26" s="438"/>
      <c r="H26" s="439"/>
    </row>
    <row r="27" spans="1:8">
      <c r="A27" s="759"/>
      <c r="B27" s="441" t="s">
        <v>293</v>
      </c>
      <c r="C27" s="442"/>
      <c r="D27" s="441"/>
      <c r="E27" s="463" t="s">
        <v>293</v>
      </c>
      <c r="F27" s="442"/>
      <c r="G27" s="442"/>
      <c r="H27" s="443"/>
    </row>
    <row r="28" spans="1:8">
      <c r="A28" s="759"/>
      <c r="B28" s="441" t="s">
        <v>294</v>
      </c>
      <c r="C28" s="442"/>
      <c r="D28" s="441"/>
      <c r="E28" s="463" t="s">
        <v>295</v>
      </c>
      <c r="F28" s="442"/>
      <c r="G28" s="442"/>
      <c r="H28" s="443"/>
    </row>
    <row r="29" spans="1:8">
      <c r="A29" s="759"/>
      <c r="B29" s="441" t="s">
        <v>296</v>
      </c>
      <c r="C29" s="442"/>
      <c r="D29" s="441"/>
      <c r="E29" s="463" t="s">
        <v>296</v>
      </c>
      <c r="F29" s="442"/>
      <c r="G29" s="442"/>
      <c r="H29" s="443"/>
    </row>
    <row r="30" spans="1:8">
      <c r="A30" s="759"/>
      <c r="B30" s="441" t="s">
        <v>297</v>
      </c>
      <c r="C30" s="442"/>
      <c r="D30" s="441"/>
      <c r="E30" s="463" t="s">
        <v>298</v>
      </c>
      <c r="F30" s="442"/>
      <c r="G30" s="442"/>
      <c r="H30" s="443"/>
    </row>
    <row r="31" spans="1:8">
      <c r="A31" s="759"/>
      <c r="B31" s="444"/>
      <c r="C31" s="442"/>
      <c r="D31" s="442"/>
      <c r="E31" s="442" t="s">
        <v>299</v>
      </c>
      <c r="F31" s="442"/>
      <c r="G31" s="442"/>
      <c r="H31" s="443"/>
    </row>
    <row r="32" spans="1:8">
      <c r="A32" s="759"/>
      <c r="B32" s="444"/>
      <c r="C32" s="442"/>
      <c r="D32" s="442"/>
      <c r="E32" s="442"/>
      <c r="F32" s="442"/>
      <c r="G32" s="442"/>
      <c r="H32" s="443"/>
    </row>
    <row r="33" spans="1:8">
      <c r="A33" s="759"/>
      <c r="B33" s="444"/>
      <c r="C33" s="442"/>
      <c r="D33" s="442"/>
      <c r="E33" s="442"/>
      <c r="F33" s="442"/>
      <c r="G33" s="442"/>
      <c r="H33" s="443"/>
    </row>
    <row r="34" spans="1:8">
      <c r="A34" s="759"/>
      <c r="B34" s="444"/>
      <c r="C34" s="442"/>
      <c r="D34" s="442"/>
      <c r="E34" s="442"/>
      <c r="F34" s="442"/>
      <c r="G34" s="442"/>
      <c r="H34" s="443"/>
    </row>
    <row r="35" spans="1:8" ht="16.5">
      <c r="A35" s="760"/>
      <c r="B35" s="462"/>
      <c r="C35" s="453"/>
      <c r="D35" s="453"/>
      <c r="E35" s="453"/>
      <c r="F35" s="453"/>
      <c r="G35" s="453"/>
      <c r="H35" s="454"/>
    </row>
    <row r="36" spans="1:8">
      <c r="A36" s="758" t="s">
        <v>18</v>
      </c>
      <c r="B36" s="464" t="s">
        <v>20</v>
      </c>
      <c r="C36" s="465" t="s">
        <v>21</v>
      </c>
      <c r="D36" s="465" t="s">
        <v>22</v>
      </c>
      <c r="E36" s="465" t="s">
        <v>23</v>
      </c>
      <c r="F36" s="438"/>
      <c r="G36" s="438"/>
      <c r="H36" s="439"/>
    </row>
    <row r="37" spans="1:8">
      <c r="A37" s="759"/>
      <c r="B37" s="466"/>
      <c r="C37" s="441"/>
      <c r="D37" s="442" t="s">
        <v>300</v>
      </c>
      <c r="E37" s="442"/>
      <c r="F37" s="442"/>
      <c r="G37" s="442"/>
      <c r="H37" s="443"/>
    </row>
    <row r="38" spans="1:8">
      <c r="A38" s="759"/>
      <c r="B38" s="441"/>
      <c r="C38" s="441"/>
      <c r="D38" s="441"/>
      <c r="E38" s="442"/>
      <c r="F38" s="442"/>
      <c r="G38" s="442"/>
      <c r="H38" s="443"/>
    </row>
    <row r="39" spans="1:8">
      <c r="A39" s="759"/>
      <c r="B39" s="441"/>
      <c r="C39" s="441"/>
      <c r="D39" s="441"/>
      <c r="E39" s="442"/>
      <c r="F39" s="442"/>
      <c r="G39" s="442"/>
      <c r="H39" s="443"/>
    </row>
    <row r="40" spans="1:8">
      <c r="A40" s="759"/>
      <c r="B40" s="442"/>
      <c r="C40" s="441"/>
      <c r="D40" s="441"/>
      <c r="E40" s="442"/>
      <c r="F40" s="442"/>
      <c r="G40" s="442"/>
      <c r="H40" s="443"/>
    </row>
    <row r="41" spans="1:8">
      <c r="A41" s="759"/>
      <c r="B41" s="444"/>
      <c r="C41" s="442"/>
      <c r="D41" s="442"/>
      <c r="E41" s="442"/>
      <c r="F41" s="442"/>
      <c r="G41" s="442"/>
      <c r="H41" s="443"/>
    </row>
    <row r="42" spans="1:8">
      <c r="A42" s="759"/>
      <c r="B42" s="444"/>
      <c r="C42" s="442"/>
      <c r="D42" s="442"/>
      <c r="E42" s="442"/>
      <c r="F42" s="442"/>
      <c r="G42" s="442"/>
      <c r="H42" s="443"/>
    </row>
    <row r="43" spans="1:8">
      <c r="A43" s="759"/>
      <c r="B43" s="444"/>
      <c r="C43" s="442"/>
      <c r="D43" s="447"/>
      <c r="E43" s="442"/>
      <c r="F43" s="442"/>
      <c r="G43" s="442"/>
      <c r="H43" s="443"/>
    </row>
    <row r="44" spans="1:8">
      <c r="A44" s="759"/>
      <c r="B44" s="444"/>
      <c r="C44" s="442"/>
      <c r="D44" s="447"/>
      <c r="E44" s="442"/>
      <c r="F44" s="442"/>
      <c r="G44" s="442"/>
      <c r="H44" s="443"/>
    </row>
    <row r="45" spans="1:8">
      <c r="A45" s="759"/>
      <c r="B45" s="444"/>
      <c r="C45" s="442"/>
      <c r="D45" s="447"/>
      <c r="E45" s="442"/>
      <c r="F45" s="442"/>
      <c r="G45" s="442"/>
      <c r="H45" s="443"/>
    </row>
    <row r="46" spans="1:8" ht="16.5">
      <c r="A46" s="760"/>
      <c r="B46" s="462"/>
      <c r="C46" s="453"/>
      <c r="D46" s="452"/>
      <c r="E46" s="453"/>
      <c r="F46" s="453"/>
      <c r="G46" s="453"/>
      <c r="H46" s="454"/>
    </row>
    <row r="47" spans="1:8">
      <c r="A47" s="758" t="s">
        <v>24</v>
      </c>
      <c r="B47" s="437" t="s">
        <v>301</v>
      </c>
      <c r="C47" s="438" t="s">
        <v>25</v>
      </c>
      <c r="D47" s="438" t="s">
        <v>26</v>
      </c>
      <c r="E47" s="438" t="s">
        <v>27</v>
      </c>
      <c r="F47" s="438" t="s">
        <v>28</v>
      </c>
      <c r="G47" s="438"/>
      <c r="H47" s="439"/>
    </row>
    <row r="48" spans="1:8">
      <c r="A48" s="759"/>
      <c r="B48" s="467"/>
      <c r="C48" s="447"/>
      <c r="D48" s="447"/>
      <c r="E48" s="447"/>
      <c r="F48" s="447"/>
      <c r="G48" s="447"/>
      <c r="H48" s="468"/>
    </row>
    <row r="49" spans="1:8">
      <c r="A49" s="759"/>
      <c r="B49" s="467"/>
      <c r="C49" s="447"/>
      <c r="D49" s="447"/>
      <c r="E49" s="447"/>
      <c r="F49" s="447"/>
      <c r="G49" s="447"/>
      <c r="H49" s="468"/>
    </row>
    <row r="50" spans="1:8">
      <c r="A50" s="759"/>
      <c r="B50" s="467"/>
      <c r="C50" s="447"/>
      <c r="D50" s="447"/>
      <c r="E50" s="447"/>
      <c r="F50" s="447"/>
      <c r="G50" s="447"/>
      <c r="H50" s="468"/>
    </row>
    <row r="51" spans="1:8">
      <c r="A51" s="759"/>
      <c r="B51" s="467"/>
      <c r="C51" s="447"/>
      <c r="D51" s="447"/>
      <c r="E51" s="447"/>
      <c r="F51" s="447"/>
      <c r="G51" s="447"/>
      <c r="H51" s="468"/>
    </row>
    <row r="52" spans="1:8">
      <c r="A52" s="759"/>
      <c r="B52" s="467"/>
      <c r="C52" s="447"/>
      <c r="D52" s="447"/>
      <c r="E52" s="447"/>
      <c r="F52" s="447"/>
      <c r="G52" s="447"/>
      <c r="H52" s="468"/>
    </row>
    <row r="53" spans="1:8">
      <c r="A53" s="759"/>
      <c r="B53" s="469"/>
      <c r="C53" s="470"/>
      <c r="D53" s="471"/>
      <c r="E53" s="470"/>
      <c r="F53" s="470"/>
      <c r="G53" s="470"/>
      <c r="H53" s="472"/>
    </row>
    <row r="54" spans="1:8">
      <c r="A54" s="759"/>
      <c r="B54" s="444"/>
      <c r="C54" s="442"/>
      <c r="D54" s="447"/>
      <c r="E54" s="442"/>
      <c r="F54" s="442"/>
      <c r="G54" s="442"/>
      <c r="H54" s="443"/>
    </row>
    <row r="55" spans="1:8">
      <c r="A55" s="759"/>
      <c r="B55" s="444"/>
      <c r="C55" s="442"/>
      <c r="D55" s="447"/>
      <c r="E55" s="442"/>
      <c r="F55" s="442"/>
      <c r="G55" s="442"/>
      <c r="H55" s="443"/>
    </row>
    <row r="56" spans="1:8" ht="16.5">
      <c r="A56" s="760"/>
      <c r="B56" s="462"/>
      <c r="C56" s="453"/>
      <c r="D56" s="453"/>
      <c r="E56" s="453"/>
      <c r="F56" s="453"/>
      <c r="G56" s="453"/>
      <c r="H56" s="454"/>
    </row>
    <row r="57" spans="1:8">
      <c r="A57" s="758" t="s">
        <v>30</v>
      </c>
      <c r="B57" s="437"/>
      <c r="C57" s="438"/>
      <c r="D57" s="438" t="s">
        <v>302</v>
      </c>
      <c r="E57" s="438"/>
      <c r="F57" s="438"/>
      <c r="G57" s="438"/>
      <c r="H57" s="439"/>
    </row>
    <row r="58" spans="1:8">
      <c r="A58" s="759"/>
      <c r="B58" s="444"/>
      <c r="C58" s="442"/>
      <c r="D58" s="442"/>
      <c r="E58" s="442"/>
      <c r="F58" s="442"/>
      <c r="G58" s="442"/>
      <c r="H58" s="443"/>
    </row>
    <row r="59" spans="1:8">
      <c r="A59" s="759"/>
      <c r="B59" s="444"/>
      <c r="C59" s="442"/>
      <c r="D59" s="442"/>
      <c r="E59" s="442"/>
      <c r="F59" s="442"/>
      <c r="G59" s="442"/>
      <c r="H59" s="443"/>
    </row>
    <row r="60" spans="1:8">
      <c r="A60" s="759"/>
      <c r="B60" s="444"/>
      <c r="C60" s="442"/>
      <c r="D60" s="442"/>
      <c r="E60" s="442"/>
      <c r="F60" s="442"/>
      <c r="G60" s="442"/>
      <c r="H60" s="443"/>
    </row>
    <row r="61" spans="1:8">
      <c r="A61" s="759"/>
      <c r="B61" s="444"/>
      <c r="C61" s="442"/>
      <c r="D61" s="442"/>
      <c r="E61" s="442"/>
      <c r="F61" s="442"/>
      <c r="G61" s="442"/>
      <c r="H61" s="443"/>
    </row>
    <row r="62" spans="1:8">
      <c r="A62" s="759"/>
      <c r="B62" s="444"/>
      <c r="C62" s="442"/>
      <c r="D62" s="442"/>
      <c r="E62" s="442"/>
      <c r="F62" s="442"/>
      <c r="G62" s="442"/>
      <c r="H62" s="443"/>
    </row>
    <row r="63" spans="1:8">
      <c r="A63" s="759"/>
      <c r="B63" s="444"/>
      <c r="C63" s="442"/>
      <c r="D63" s="442"/>
      <c r="E63" s="442"/>
      <c r="F63" s="442"/>
      <c r="G63" s="442"/>
      <c r="H63" s="443"/>
    </row>
    <row r="64" spans="1:8">
      <c r="A64" s="759"/>
      <c r="B64" s="444"/>
      <c r="C64" s="442"/>
      <c r="D64" s="442"/>
      <c r="E64" s="442"/>
      <c r="F64" s="442"/>
      <c r="G64" s="442"/>
      <c r="H64" s="443"/>
    </row>
    <row r="65" spans="1:8">
      <c r="A65" s="759"/>
      <c r="B65" s="444"/>
      <c r="C65" s="442"/>
      <c r="D65" s="442"/>
      <c r="E65" s="442"/>
      <c r="F65" s="442"/>
      <c r="G65" s="442"/>
      <c r="H65" s="443"/>
    </row>
    <row r="66" spans="1:8" ht="16.5">
      <c r="A66" s="760"/>
      <c r="B66" s="462"/>
      <c r="C66" s="453"/>
      <c r="D66" s="453"/>
      <c r="E66" s="453"/>
      <c r="F66" s="453"/>
      <c r="G66" s="453"/>
      <c r="H66" s="454"/>
    </row>
    <row r="67" spans="1:8">
      <c r="A67" s="758" t="s">
        <v>303</v>
      </c>
      <c r="B67" s="437"/>
      <c r="C67" s="438"/>
      <c r="D67" s="438"/>
      <c r="E67" s="438" t="s">
        <v>304</v>
      </c>
      <c r="F67" s="438" t="s">
        <v>305</v>
      </c>
      <c r="G67" s="438"/>
      <c r="H67" s="439"/>
    </row>
    <row r="68" spans="1:8">
      <c r="A68" s="759"/>
      <c r="B68" s="440"/>
      <c r="C68" s="441"/>
      <c r="D68" s="442"/>
      <c r="E68" s="441" t="s">
        <v>293</v>
      </c>
      <c r="F68" s="441" t="s">
        <v>287</v>
      </c>
      <c r="G68" s="442"/>
      <c r="H68" s="443"/>
    </row>
    <row r="69" spans="1:8">
      <c r="A69" s="759"/>
      <c r="B69" s="440"/>
      <c r="C69" s="441"/>
      <c r="D69" s="442"/>
      <c r="E69" s="441" t="s">
        <v>294</v>
      </c>
      <c r="F69" s="442"/>
      <c r="G69" s="442"/>
      <c r="H69" s="443"/>
    </row>
    <row r="70" spans="1:8">
      <c r="A70" s="759"/>
      <c r="B70" s="440"/>
      <c r="C70" s="441"/>
      <c r="D70" s="442"/>
      <c r="E70" s="441" t="s">
        <v>296</v>
      </c>
      <c r="F70" s="442"/>
      <c r="G70" s="442"/>
      <c r="H70" s="443"/>
    </row>
    <row r="71" spans="1:8">
      <c r="A71" s="759"/>
      <c r="B71" s="440"/>
      <c r="C71" s="441"/>
      <c r="D71" s="442"/>
      <c r="E71" s="441" t="s">
        <v>306</v>
      </c>
      <c r="F71" s="442"/>
      <c r="G71" s="442"/>
      <c r="H71" s="443"/>
    </row>
    <row r="72" spans="1:8">
      <c r="A72" s="759"/>
      <c r="B72" s="444"/>
      <c r="C72" s="442"/>
      <c r="D72" s="442"/>
      <c r="E72" s="442"/>
      <c r="F72" s="442"/>
      <c r="G72" s="442"/>
      <c r="H72" s="443"/>
    </row>
    <row r="73" spans="1:8">
      <c r="A73" s="759"/>
      <c r="B73" s="444"/>
      <c r="C73" s="442"/>
      <c r="D73" s="442"/>
      <c r="E73" s="461"/>
      <c r="F73" s="461"/>
      <c r="G73" s="461"/>
      <c r="H73" s="443"/>
    </row>
    <row r="74" spans="1:8">
      <c r="A74" s="759"/>
      <c r="B74" s="444"/>
      <c r="C74" s="442"/>
      <c r="D74" s="442"/>
      <c r="E74" s="442"/>
      <c r="F74" s="442"/>
      <c r="G74" s="442"/>
      <c r="H74" s="443"/>
    </row>
    <row r="75" spans="1:8">
      <c r="A75" s="759"/>
      <c r="B75" s="444"/>
      <c r="C75" s="442"/>
      <c r="D75" s="442"/>
      <c r="E75" s="442"/>
      <c r="F75" s="442"/>
      <c r="G75" s="442"/>
      <c r="H75" s="443"/>
    </row>
    <row r="76" spans="1:8" ht="16.5">
      <c r="A76" s="760"/>
      <c r="B76" s="462"/>
      <c r="C76" s="453"/>
      <c r="D76" s="453"/>
      <c r="E76" s="453"/>
      <c r="F76" s="453"/>
      <c r="G76" s="453"/>
      <c r="H76" s="454"/>
    </row>
    <row r="77" spans="1:8">
      <c r="A77" s="758" t="s">
        <v>37</v>
      </c>
      <c r="B77" s="473" t="s">
        <v>307</v>
      </c>
      <c r="C77" s="438" t="s">
        <v>308</v>
      </c>
      <c r="D77" s="438" t="s">
        <v>309</v>
      </c>
      <c r="E77" s="438"/>
      <c r="F77" s="438"/>
      <c r="G77" s="438"/>
      <c r="H77" s="439"/>
    </row>
    <row r="78" spans="1:8">
      <c r="A78" s="759"/>
      <c r="B78" s="474" t="s">
        <v>287</v>
      </c>
      <c r="C78" s="441" t="s">
        <v>287</v>
      </c>
      <c r="D78" s="441" t="s">
        <v>287</v>
      </c>
      <c r="E78" s="441"/>
      <c r="F78" s="441"/>
      <c r="G78" s="442"/>
      <c r="H78" s="443"/>
    </row>
    <row r="79" spans="1:8">
      <c r="A79" s="759"/>
      <c r="B79" s="449" t="s">
        <v>310</v>
      </c>
      <c r="C79" s="449" t="s">
        <v>311</v>
      </c>
      <c r="D79" s="449" t="s">
        <v>312</v>
      </c>
      <c r="E79" s="441"/>
      <c r="F79" s="441"/>
      <c r="G79" s="442"/>
      <c r="H79" s="443"/>
    </row>
    <row r="80" spans="1:8">
      <c r="A80" s="759"/>
      <c r="B80" s="441"/>
      <c r="C80" s="441"/>
      <c r="D80" s="441"/>
      <c r="E80" s="441"/>
      <c r="F80" s="441"/>
      <c r="G80" s="442"/>
      <c r="H80" s="443"/>
    </row>
    <row r="81" spans="1:8">
      <c r="A81" s="759"/>
      <c r="B81" s="442"/>
      <c r="C81" s="441"/>
      <c r="D81" s="441"/>
      <c r="E81" s="441"/>
      <c r="F81" s="441"/>
      <c r="G81" s="442"/>
      <c r="H81" s="443"/>
    </row>
    <row r="82" spans="1:8">
      <c r="A82" s="759"/>
      <c r="B82" s="444"/>
      <c r="C82" s="442"/>
      <c r="D82" s="461"/>
      <c r="E82" s="442"/>
      <c r="F82" s="442"/>
      <c r="G82" s="442"/>
      <c r="H82" s="443"/>
    </row>
    <row r="83" spans="1:8">
      <c r="A83" s="759"/>
      <c r="B83" s="445"/>
      <c r="C83" s="446"/>
      <c r="D83" s="442"/>
      <c r="E83" s="442"/>
      <c r="F83" s="442"/>
      <c r="G83" s="442"/>
      <c r="H83" s="443"/>
    </row>
    <row r="84" spans="1:8">
      <c r="A84" s="759"/>
      <c r="B84" s="475"/>
      <c r="C84" s="476"/>
      <c r="D84" s="475"/>
      <c r="F84" s="442"/>
      <c r="G84" s="442"/>
      <c r="H84" s="443"/>
    </row>
    <row r="85" spans="1:8">
      <c r="A85" s="759"/>
      <c r="B85" s="444"/>
      <c r="C85" s="442"/>
      <c r="D85" s="442"/>
      <c r="E85" s="442"/>
      <c r="F85" s="442"/>
      <c r="G85" s="442"/>
      <c r="H85" s="443"/>
    </row>
    <row r="86" spans="1:8" ht="16.5">
      <c r="A86" s="760"/>
      <c r="B86" s="477"/>
      <c r="C86" s="478"/>
      <c r="D86" s="478"/>
      <c r="E86" s="478"/>
      <c r="F86" s="478"/>
      <c r="G86" s="478"/>
      <c r="H86" s="479"/>
    </row>
    <row r="88" spans="1:8">
      <c r="F88" s="480"/>
    </row>
    <row r="90" spans="1:8" ht="16.5">
      <c r="A90" s="420" t="s">
        <v>313</v>
      </c>
      <c r="B90" s="481"/>
      <c r="C90" s="420" t="s">
        <v>313</v>
      </c>
      <c r="D90" s="481"/>
      <c r="E90" s="420" t="s">
        <v>314</v>
      </c>
      <c r="F90" s="481"/>
    </row>
    <row r="91" spans="1:8">
      <c r="A91" s="482"/>
      <c r="B91" s="482"/>
      <c r="C91" s="420"/>
      <c r="D91" s="482"/>
      <c r="E91" s="420"/>
      <c r="F91" s="482"/>
    </row>
    <row r="92" spans="1:8">
      <c r="A92" s="482"/>
      <c r="B92" s="482"/>
      <c r="C92" s="420"/>
      <c r="D92" s="482"/>
      <c r="E92" s="420"/>
      <c r="F92" s="482"/>
    </row>
    <row r="93" spans="1:8" ht="16.5">
      <c r="A93" s="420" t="s">
        <v>315</v>
      </c>
      <c r="B93" s="481"/>
      <c r="C93" s="420" t="s">
        <v>316</v>
      </c>
      <c r="D93" s="481"/>
      <c r="E93" s="420" t="s">
        <v>317</v>
      </c>
      <c r="F93" s="481"/>
    </row>
    <row r="94" spans="1:8">
      <c r="A94" s="482"/>
      <c r="B94" s="482"/>
      <c r="C94" s="420"/>
      <c r="D94" s="482"/>
      <c r="E94" s="420"/>
      <c r="F94" s="482"/>
    </row>
    <row r="95" spans="1:8">
      <c r="A95" s="482"/>
      <c r="B95" s="482"/>
      <c r="C95" s="420"/>
      <c r="D95" s="482"/>
      <c r="E95" s="420"/>
      <c r="F95" s="482"/>
    </row>
    <row r="96" spans="1:8" ht="16.5">
      <c r="A96" s="420" t="s">
        <v>318</v>
      </c>
      <c r="B96" s="481"/>
      <c r="C96" s="420" t="s">
        <v>319</v>
      </c>
      <c r="D96" s="481"/>
      <c r="E96" s="420" t="s">
        <v>320</v>
      </c>
      <c r="F96" s="481"/>
    </row>
    <row r="97" spans="1:6">
      <c r="A97" s="482"/>
      <c r="B97" s="482"/>
      <c r="C97" s="420"/>
      <c r="D97" s="482"/>
      <c r="E97" s="420"/>
      <c r="F97" s="482"/>
    </row>
    <row r="98" spans="1:6">
      <c r="A98" s="482"/>
      <c r="B98" s="482"/>
      <c r="C98" s="420"/>
      <c r="D98" s="482"/>
      <c r="E98" s="420"/>
      <c r="F98" s="482"/>
    </row>
    <row r="99" spans="1:6" ht="16.5">
      <c r="A99" s="420" t="s">
        <v>321</v>
      </c>
      <c r="B99" s="481"/>
      <c r="C99" s="420" t="s">
        <v>322</v>
      </c>
      <c r="D99" s="481"/>
      <c r="E99" s="420" t="s">
        <v>323</v>
      </c>
      <c r="F99" s="481"/>
    </row>
    <row r="100" spans="1:6">
      <c r="A100" s="482"/>
      <c r="B100" s="482"/>
      <c r="C100" s="420"/>
      <c r="D100" s="482"/>
      <c r="E100" s="482"/>
      <c r="F100" s="482"/>
    </row>
    <row r="101" spans="1:6">
      <c r="A101" s="482"/>
      <c r="B101" s="482"/>
      <c r="C101" s="420"/>
      <c r="D101" s="482"/>
      <c r="E101" s="482"/>
      <c r="F101" s="482"/>
    </row>
    <row r="102" spans="1:6" ht="16.5">
      <c r="A102" s="420" t="s">
        <v>324</v>
      </c>
      <c r="B102" s="481"/>
      <c r="C102" s="420" t="s">
        <v>325</v>
      </c>
      <c r="D102" s="481"/>
      <c r="E102" s="420" t="s">
        <v>326</v>
      </c>
      <c r="F102" s="483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zoomScale="80" zoomScaleNormal="80" workbookViewId="0">
      <selection activeCell="G8" sqref="G8:H8"/>
    </sheetView>
  </sheetViews>
  <sheetFormatPr defaultColWidth="9.08984375" defaultRowHeight="14.5"/>
  <cols>
    <col min="1" max="1" width="6.6328125" customWidth="1"/>
    <col min="2" max="2" width="60.36328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90625" customWidth="1"/>
    <col min="8" max="8" width="8.54296875" customWidth="1"/>
    <col min="9" max="9" width="7.6328125" customWidth="1"/>
    <col min="10" max="10" width="11.90625" customWidth="1"/>
    <col min="11" max="11" width="7.6328125" customWidth="1"/>
    <col min="12" max="12" width="7.90625" customWidth="1"/>
    <col min="13" max="13" width="25.36328125" customWidth="1"/>
    <col min="14" max="14" width="8.453125" customWidth="1"/>
    <col min="15" max="15" width="10.54296875" customWidth="1"/>
    <col min="16" max="16" width="8.54296875" customWidth="1"/>
    <col min="17" max="17" width="7.90625" customWidth="1"/>
    <col min="18" max="18" width="10.08984375" customWidth="1"/>
    <col min="19" max="19" width="13.6328125" customWidth="1"/>
    <col min="20" max="20" width="12.90625" customWidth="1"/>
    <col min="21" max="21" width="11.08984375" customWidth="1"/>
    <col min="22" max="22" width="7.90625" customWidth="1"/>
    <col min="23" max="23" width="15.90625" customWidth="1"/>
    <col min="24" max="26" width="7.90625" customWidth="1"/>
    <col min="27" max="30" width="4.453125" customWidth="1"/>
    <col min="31" max="31" width="10.08984375" customWidth="1"/>
  </cols>
  <sheetData>
    <row r="1" spans="1:31" ht="46">
      <c r="B1" s="761" t="s">
        <v>327</v>
      </c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3"/>
    </row>
    <row r="2" spans="1:31" ht="28.5">
      <c r="C2" s="323"/>
      <c r="D2" s="323"/>
      <c r="E2" s="323"/>
      <c r="F2" s="323"/>
      <c r="G2" s="323"/>
      <c r="H2" s="323"/>
      <c r="I2" s="344"/>
      <c r="J2" s="344"/>
      <c r="K2" s="344"/>
      <c r="L2" s="344"/>
      <c r="M2" s="344"/>
      <c r="N2" s="344"/>
      <c r="O2" s="323"/>
      <c r="P2" s="323"/>
      <c r="Q2" s="323"/>
      <c r="R2" s="323"/>
      <c r="S2" s="323"/>
      <c r="T2" s="323"/>
    </row>
    <row r="3" spans="1:31" ht="21">
      <c r="B3" s="764" t="s">
        <v>114</v>
      </c>
      <c r="C3" s="764"/>
      <c r="D3" s="764"/>
      <c r="E3" s="765">
        <v>46072</v>
      </c>
      <c r="F3" s="765"/>
      <c r="G3" s="765"/>
      <c r="H3" s="765"/>
      <c r="I3" s="765"/>
      <c r="J3" s="765"/>
    </row>
    <row r="4" spans="1:31" ht="21">
      <c r="B4" s="764" t="s">
        <v>115</v>
      </c>
      <c r="C4" s="764"/>
      <c r="D4" s="764"/>
      <c r="E4" s="766" t="s">
        <v>197</v>
      </c>
      <c r="F4" s="766"/>
      <c r="G4" s="766"/>
      <c r="H4" s="766"/>
      <c r="I4" s="766"/>
      <c r="J4" s="766"/>
    </row>
    <row r="5" spans="1:31" ht="46">
      <c r="B5" s="767" t="s">
        <v>328</v>
      </c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8"/>
      <c r="AB5" s="768"/>
      <c r="AC5" s="768"/>
      <c r="AD5" s="768"/>
      <c r="AE5" s="769"/>
    </row>
    <row r="6" spans="1:31" ht="42.75" customHeight="1">
      <c r="A6" s="324"/>
      <c r="B6" s="770" t="s">
        <v>117</v>
      </c>
      <c r="C6" s="771"/>
      <c r="D6" s="772"/>
      <c r="E6" s="773" t="s">
        <v>118</v>
      </c>
      <c r="F6" s="774"/>
      <c r="G6" s="773" t="s">
        <v>119</v>
      </c>
      <c r="H6" s="774"/>
      <c r="I6" s="773" t="s">
        <v>120</v>
      </c>
      <c r="J6" s="774"/>
      <c r="K6" s="773" t="s">
        <v>121</v>
      </c>
      <c r="L6" s="774"/>
      <c r="M6" s="775" t="s">
        <v>329</v>
      </c>
      <c r="N6" s="776"/>
      <c r="O6" s="776"/>
      <c r="P6" s="776"/>
      <c r="Q6" s="776"/>
      <c r="R6" s="776"/>
      <c r="S6" s="776"/>
      <c r="T6" s="776"/>
      <c r="U6" s="776"/>
      <c r="V6" s="776"/>
      <c r="W6" s="776"/>
      <c r="X6" s="776"/>
      <c r="Y6" s="776"/>
      <c r="Z6" s="776"/>
      <c r="AA6" s="776"/>
      <c r="AB6" s="776"/>
      <c r="AC6" s="776"/>
      <c r="AD6" s="776"/>
      <c r="AE6" s="777"/>
    </row>
    <row r="7" spans="1:31">
      <c r="B7" s="778" t="s">
        <v>15</v>
      </c>
      <c r="C7" s="778"/>
      <c r="D7" s="778"/>
      <c r="E7" s="779">
        <v>1</v>
      </c>
      <c r="F7" s="779"/>
      <c r="G7" s="780">
        <v>0</v>
      </c>
      <c r="H7" s="781"/>
      <c r="I7" s="782">
        <f t="shared" ref="I7:I13" si="0">G7/E7</f>
        <v>0</v>
      </c>
      <c r="J7" s="782"/>
      <c r="K7" s="782">
        <v>0.95</v>
      </c>
      <c r="L7" s="782"/>
      <c r="M7" s="783" t="s">
        <v>330</v>
      </c>
      <c r="N7" s="783"/>
      <c r="O7" s="783"/>
      <c r="P7" s="783"/>
      <c r="Q7" s="783"/>
      <c r="R7" s="783"/>
      <c r="S7" s="783"/>
      <c r="T7" s="783"/>
      <c r="U7" s="783"/>
      <c r="V7" s="783"/>
      <c r="W7" s="783"/>
      <c r="X7" s="783"/>
      <c r="Y7" s="783"/>
      <c r="Z7" s="783"/>
      <c r="AA7" s="783"/>
      <c r="AB7" s="783"/>
      <c r="AC7" s="783"/>
      <c r="AD7" s="783"/>
      <c r="AE7" s="783"/>
    </row>
    <row r="8" spans="1:31">
      <c r="B8" s="778" t="s">
        <v>12</v>
      </c>
      <c r="C8" s="778"/>
      <c r="D8" s="778"/>
      <c r="E8" s="779">
        <v>1</v>
      </c>
      <c r="F8" s="779"/>
      <c r="G8" s="784">
        <v>1</v>
      </c>
      <c r="H8" s="785"/>
      <c r="I8" s="782">
        <f t="shared" si="0"/>
        <v>1</v>
      </c>
      <c r="J8" s="782"/>
      <c r="K8" s="782">
        <v>0.95</v>
      </c>
      <c r="L8" s="782"/>
      <c r="M8" s="786" t="s">
        <v>331</v>
      </c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6"/>
      <c r="AB8" s="786"/>
      <c r="AC8" s="786"/>
      <c r="AD8" s="786"/>
      <c r="AE8" s="786"/>
    </row>
    <row r="9" spans="1:31">
      <c r="B9" s="778" t="s">
        <v>18</v>
      </c>
      <c r="C9" s="778"/>
      <c r="D9" s="778"/>
      <c r="E9" s="779">
        <v>2</v>
      </c>
      <c r="F9" s="779"/>
      <c r="G9" s="784">
        <v>2</v>
      </c>
      <c r="H9" s="785"/>
      <c r="I9" s="782">
        <f t="shared" si="0"/>
        <v>1</v>
      </c>
      <c r="J9" s="782"/>
      <c r="K9" s="782">
        <v>0.95</v>
      </c>
      <c r="L9" s="782"/>
      <c r="M9" s="786" t="s">
        <v>332</v>
      </c>
      <c r="N9" s="786"/>
      <c r="O9" s="786"/>
      <c r="P9" s="786"/>
      <c r="Q9" s="786"/>
      <c r="R9" s="786"/>
      <c r="S9" s="786"/>
      <c r="T9" s="786"/>
      <c r="U9" s="786"/>
      <c r="V9" s="786"/>
      <c r="W9" s="786"/>
      <c r="X9" s="786"/>
      <c r="Y9" s="786"/>
      <c r="Z9" s="786"/>
      <c r="AA9" s="786"/>
      <c r="AB9" s="786"/>
      <c r="AC9" s="786"/>
      <c r="AD9" s="786"/>
      <c r="AE9" s="786"/>
    </row>
    <row r="10" spans="1:31">
      <c r="B10" s="778" t="s">
        <v>24</v>
      </c>
      <c r="C10" s="778"/>
      <c r="D10" s="778"/>
      <c r="E10" s="779">
        <v>3</v>
      </c>
      <c r="F10" s="779"/>
      <c r="G10" s="784">
        <v>2</v>
      </c>
      <c r="H10" s="785"/>
      <c r="I10" s="782">
        <f t="shared" si="0"/>
        <v>0.66666666666666696</v>
      </c>
      <c r="J10" s="782"/>
      <c r="K10" s="782">
        <v>0.95</v>
      </c>
      <c r="L10" s="782"/>
      <c r="M10" s="786" t="s">
        <v>333</v>
      </c>
      <c r="N10" s="786"/>
      <c r="O10" s="786"/>
      <c r="P10" s="786"/>
      <c r="Q10" s="786"/>
      <c r="R10" s="786"/>
      <c r="S10" s="786"/>
      <c r="T10" s="786"/>
      <c r="U10" s="786"/>
      <c r="V10" s="786"/>
      <c r="W10" s="786"/>
      <c r="X10" s="786"/>
      <c r="Y10" s="786"/>
      <c r="Z10" s="786"/>
      <c r="AA10" s="786"/>
      <c r="AB10" s="786"/>
      <c r="AC10" s="786"/>
      <c r="AD10" s="786"/>
      <c r="AE10" s="786"/>
    </row>
    <row r="11" spans="1:31">
      <c r="B11" s="787" t="s">
        <v>30</v>
      </c>
      <c r="C11" s="787"/>
      <c r="D11" s="787"/>
      <c r="E11" s="779">
        <v>2</v>
      </c>
      <c r="F11" s="779"/>
      <c r="G11" s="784">
        <v>1</v>
      </c>
      <c r="H11" s="785"/>
      <c r="I11" s="782">
        <f t="shared" si="0"/>
        <v>0.5</v>
      </c>
      <c r="J11" s="782"/>
      <c r="K11" s="782">
        <v>0.95</v>
      </c>
      <c r="L11" s="782"/>
      <c r="M11" s="788" t="s">
        <v>334</v>
      </c>
      <c r="N11" s="789"/>
      <c r="O11" s="789"/>
      <c r="P11" s="789"/>
      <c r="Q11" s="789"/>
      <c r="R11" s="789"/>
      <c r="S11" s="789"/>
      <c r="T11" s="789"/>
      <c r="U11" s="789"/>
      <c r="V11" s="789"/>
      <c r="W11" s="789"/>
      <c r="X11" s="789"/>
      <c r="Y11" s="789"/>
      <c r="Z11" s="789"/>
      <c r="AA11" s="789"/>
      <c r="AB11" s="789"/>
      <c r="AC11" s="789"/>
      <c r="AD11" s="789"/>
      <c r="AE11" s="790"/>
    </row>
    <row r="12" spans="1:31">
      <c r="B12" s="778" t="s">
        <v>277</v>
      </c>
      <c r="C12" s="778"/>
      <c r="D12" s="778"/>
      <c r="E12" s="779"/>
      <c r="F12" s="779"/>
      <c r="G12" s="784"/>
      <c r="H12" s="785"/>
      <c r="I12" s="782" t="e">
        <f t="shared" si="0"/>
        <v>#DIV/0!</v>
      </c>
      <c r="J12" s="782"/>
      <c r="K12" s="782">
        <v>0.95</v>
      </c>
      <c r="L12" s="782"/>
      <c r="M12" s="786"/>
      <c r="N12" s="786"/>
      <c r="O12" s="786"/>
      <c r="P12" s="786"/>
      <c r="Q12" s="786"/>
      <c r="R12" s="786"/>
      <c r="S12" s="786"/>
      <c r="T12" s="786"/>
      <c r="U12" s="786"/>
      <c r="V12" s="786"/>
      <c r="W12" s="786"/>
      <c r="X12" s="786"/>
      <c r="Y12" s="786"/>
      <c r="Z12" s="786"/>
      <c r="AA12" s="786"/>
      <c r="AB12" s="786"/>
      <c r="AC12" s="786"/>
      <c r="AD12" s="786"/>
      <c r="AE12" s="786"/>
    </row>
    <row r="13" spans="1:31">
      <c r="B13" s="778" t="s">
        <v>127</v>
      </c>
      <c r="C13" s="778"/>
      <c r="D13" s="778"/>
      <c r="E13" s="779">
        <v>5</v>
      </c>
      <c r="F13" s="779"/>
      <c r="G13" s="784">
        <v>4</v>
      </c>
      <c r="H13" s="785"/>
      <c r="I13" s="782">
        <f t="shared" si="0"/>
        <v>0.8</v>
      </c>
      <c r="J13" s="782"/>
      <c r="K13" s="782">
        <v>0.95</v>
      </c>
      <c r="L13" s="782"/>
      <c r="M13" s="788" t="s">
        <v>335</v>
      </c>
      <c r="N13" s="789"/>
      <c r="O13" s="789"/>
      <c r="P13" s="789"/>
      <c r="Q13" s="789"/>
      <c r="R13" s="789"/>
      <c r="S13" s="789"/>
      <c r="T13" s="789"/>
      <c r="U13" s="789"/>
      <c r="V13" s="789"/>
      <c r="W13" s="789"/>
      <c r="X13" s="789"/>
      <c r="Y13" s="789"/>
      <c r="Z13" s="789"/>
      <c r="AA13" s="789"/>
      <c r="AB13" s="789"/>
      <c r="AC13" s="789"/>
      <c r="AD13" s="789"/>
      <c r="AE13" s="790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4" spans="2:23" ht="48.75" customHeight="1">
      <c r="B34" s="791" t="s">
        <v>336</v>
      </c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</row>
    <row r="35" spans="2:23">
      <c r="D35" s="792" t="s">
        <v>337</v>
      </c>
      <c r="E35" s="792"/>
      <c r="F35" s="792"/>
      <c r="G35" s="792"/>
      <c r="H35" s="792"/>
      <c r="I35" s="792"/>
      <c r="K35" s="793" t="s">
        <v>338</v>
      </c>
      <c r="L35" s="793"/>
      <c r="M35" s="793"/>
      <c r="N35" s="793"/>
      <c r="O35" s="793"/>
      <c r="P35" s="793"/>
      <c r="Q35" s="793"/>
      <c r="R35" s="793"/>
      <c r="S35" s="793"/>
      <c r="T35" s="793"/>
      <c r="U35" s="793"/>
    </row>
    <row r="36" spans="2:23" ht="141.75" customHeight="1">
      <c r="B36" s="325" t="s">
        <v>339</v>
      </c>
      <c r="C36" s="325" t="s">
        <v>340</v>
      </c>
      <c r="D36" s="794" t="s">
        <v>341</v>
      </c>
      <c r="E36" s="794"/>
      <c r="F36" s="794" t="s">
        <v>342</v>
      </c>
      <c r="G36" s="794"/>
      <c r="H36" s="326" t="s">
        <v>343</v>
      </c>
      <c r="I36" s="346" t="s">
        <v>344</v>
      </c>
      <c r="J36" s="347">
        <f>AVERAGE(J37:J53)</f>
        <v>0.22916666666666699</v>
      </c>
      <c r="K36" s="795" t="s">
        <v>345</v>
      </c>
      <c r="L36" s="795"/>
      <c r="M36" s="325" t="s">
        <v>346</v>
      </c>
      <c r="N36" s="325" t="s">
        <v>347</v>
      </c>
      <c r="O36" s="325" t="s">
        <v>348</v>
      </c>
      <c r="P36" s="795" t="s">
        <v>349</v>
      </c>
      <c r="Q36" s="795"/>
      <c r="R36" s="325" t="s">
        <v>346</v>
      </c>
      <c r="S36" s="796">
        <f>AVERAGE(S37:T53)</f>
        <v>0.41666666666666702</v>
      </c>
      <c r="T36" s="797"/>
      <c r="U36" s="325" t="s">
        <v>350</v>
      </c>
      <c r="V36" s="324"/>
      <c r="W36" s="324"/>
    </row>
    <row r="37" spans="2:23" ht="15.5">
      <c r="B37" s="327" t="s">
        <v>351</v>
      </c>
      <c r="C37" s="328" t="s">
        <v>352</v>
      </c>
      <c r="D37" s="798">
        <v>0.58333333333333304</v>
      </c>
      <c r="E37" s="799"/>
      <c r="F37" s="800">
        <v>0</v>
      </c>
      <c r="G37" s="801"/>
      <c r="H37" s="331" t="s">
        <v>353</v>
      </c>
      <c r="I37" s="335">
        <v>0</v>
      </c>
      <c r="J37" s="345">
        <f t="shared" ref="J37:J47" si="1">I37+F37</f>
        <v>0</v>
      </c>
      <c r="K37" s="802" t="s">
        <v>354</v>
      </c>
      <c r="L37" s="803"/>
      <c r="M37" s="335">
        <v>0.25</v>
      </c>
      <c r="N37" s="348">
        <v>3</v>
      </c>
      <c r="O37" s="335">
        <v>0.2</v>
      </c>
      <c r="P37" s="780" t="s">
        <v>354</v>
      </c>
      <c r="Q37" s="803"/>
      <c r="R37" s="335">
        <v>0.25</v>
      </c>
      <c r="S37" s="782">
        <f t="shared" ref="S37:S48" si="2">R37+O37+M37</f>
        <v>0.7</v>
      </c>
      <c r="T37" s="782"/>
      <c r="U37" s="350"/>
      <c r="V37" s="351"/>
      <c r="W37" s="351"/>
    </row>
    <row r="38" spans="2:23" ht="15.5">
      <c r="B38" s="327" t="s">
        <v>355</v>
      </c>
      <c r="C38" s="328" t="s">
        <v>331</v>
      </c>
      <c r="D38" s="804">
        <v>0.29166666666666702</v>
      </c>
      <c r="E38" s="805"/>
      <c r="F38" s="800">
        <v>0.5</v>
      </c>
      <c r="G38" s="801"/>
      <c r="H38" s="331" t="s">
        <v>353</v>
      </c>
      <c r="I38" s="335">
        <v>0</v>
      </c>
      <c r="J38" s="345">
        <f t="shared" si="1"/>
        <v>0.5</v>
      </c>
      <c r="K38" s="806" t="s">
        <v>354</v>
      </c>
      <c r="L38" s="807"/>
      <c r="M38" s="335">
        <v>0.25</v>
      </c>
      <c r="N38" s="348">
        <v>4</v>
      </c>
      <c r="O38" s="335">
        <v>0.3</v>
      </c>
      <c r="P38" s="784" t="s">
        <v>354</v>
      </c>
      <c r="Q38" s="807"/>
      <c r="R38" s="335">
        <v>0.25</v>
      </c>
      <c r="S38" s="782">
        <f t="shared" si="2"/>
        <v>0.8</v>
      </c>
      <c r="T38" s="782"/>
      <c r="U38" s="352"/>
    </row>
    <row r="39" spans="2:23" ht="15.5">
      <c r="B39" s="327" t="s">
        <v>351</v>
      </c>
      <c r="C39" s="328" t="s">
        <v>356</v>
      </c>
      <c r="D39" s="804">
        <v>0.33333333333333298</v>
      </c>
      <c r="E39" s="805"/>
      <c r="F39" s="800">
        <v>0.25</v>
      </c>
      <c r="G39" s="801"/>
      <c r="H39" s="331" t="s">
        <v>354</v>
      </c>
      <c r="I39" s="335">
        <v>0.5</v>
      </c>
      <c r="J39" s="345">
        <f t="shared" si="1"/>
        <v>0.75</v>
      </c>
      <c r="K39" s="806" t="s">
        <v>354</v>
      </c>
      <c r="L39" s="807"/>
      <c r="M39" s="335">
        <v>0.25</v>
      </c>
      <c r="N39" s="348">
        <v>5</v>
      </c>
      <c r="O39" s="335">
        <v>0.4</v>
      </c>
      <c r="P39" s="784" t="s">
        <v>354</v>
      </c>
      <c r="Q39" s="807"/>
      <c r="R39" s="335">
        <v>0.25</v>
      </c>
      <c r="S39" s="782">
        <f t="shared" si="2"/>
        <v>0.9</v>
      </c>
      <c r="T39" s="782"/>
      <c r="U39" s="352"/>
    </row>
    <row r="40" spans="2:23" ht="15.5">
      <c r="B40" s="327" t="s">
        <v>355</v>
      </c>
      <c r="C40" s="328" t="s">
        <v>357</v>
      </c>
      <c r="D40" s="804">
        <v>0.29166666666666702</v>
      </c>
      <c r="E40" s="805"/>
      <c r="F40" s="800">
        <v>0.5</v>
      </c>
      <c r="G40" s="801"/>
      <c r="H40" s="331" t="s">
        <v>354</v>
      </c>
      <c r="I40" s="335">
        <v>0.5</v>
      </c>
      <c r="J40" s="345">
        <f t="shared" si="1"/>
        <v>1</v>
      </c>
      <c r="K40" s="806" t="s">
        <v>354</v>
      </c>
      <c r="L40" s="807"/>
      <c r="M40" s="335">
        <v>0.25</v>
      </c>
      <c r="N40" s="348">
        <v>5</v>
      </c>
      <c r="O40" s="335">
        <v>0.4</v>
      </c>
      <c r="P40" s="784" t="s">
        <v>354</v>
      </c>
      <c r="Q40" s="807"/>
      <c r="R40" s="335">
        <v>0.25</v>
      </c>
      <c r="S40" s="782">
        <f t="shared" si="2"/>
        <v>0.9</v>
      </c>
      <c r="T40" s="782"/>
      <c r="U40" s="352"/>
    </row>
    <row r="41" spans="2:23" ht="15.5">
      <c r="B41" s="327" t="s">
        <v>358</v>
      </c>
      <c r="C41" s="328" t="s">
        <v>26</v>
      </c>
      <c r="D41" s="804">
        <v>0.33333333333333298</v>
      </c>
      <c r="E41" s="805"/>
      <c r="F41" s="800">
        <v>0.25</v>
      </c>
      <c r="G41" s="801"/>
      <c r="H41" s="331" t="s">
        <v>353</v>
      </c>
      <c r="I41" s="335">
        <v>0</v>
      </c>
      <c r="J41" s="345">
        <f t="shared" si="1"/>
        <v>0.25</v>
      </c>
      <c r="K41" s="806" t="s">
        <v>354</v>
      </c>
      <c r="L41" s="807"/>
      <c r="M41" s="335">
        <v>0.25</v>
      </c>
      <c r="N41" s="348">
        <v>4</v>
      </c>
      <c r="O41" s="335">
        <v>0.3</v>
      </c>
      <c r="P41" s="784" t="s">
        <v>354</v>
      </c>
      <c r="Q41" s="807"/>
      <c r="R41" s="335">
        <v>0.25</v>
      </c>
      <c r="S41" s="782">
        <f t="shared" si="2"/>
        <v>0.8</v>
      </c>
      <c r="T41" s="782"/>
      <c r="U41" s="352"/>
    </row>
    <row r="42" spans="2:23" ht="15.5">
      <c r="B42" s="327" t="s">
        <v>355</v>
      </c>
      <c r="C42" s="328" t="s">
        <v>359</v>
      </c>
      <c r="D42" s="804">
        <v>0.33333333333333298</v>
      </c>
      <c r="E42" s="805"/>
      <c r="F42" s="800">
        <v>0.25</v>
      </c>
      <c r="G42" s="801"/>
      <c r="H42" s="331" t="s">
        <v>353</v>
      </c>
      <c r="I42" s="335">
        <v>0</v>
      </c>
      <c r="J42" s="345">
        <f t="shared" si="1"/>
        <v>0.25</v>
      </c>
      <c r="K42" s="806" t="s">
        <v>354</v>
      </c>
      <c r="L42" s="807"/>
      <c r="M42" s="335">
        <v>0.25</v>
      </c>
      <c r="N42" s="348">
        <v>5</v>
      </c>
      <c r="O42" s="335">
        <v>0.4</v>
      </c>
      <c r="P42" s="784" t="s">
        <v>354</v>
      </c>
      <c r="Q42" s="807"/>
      <c r="R42" s="335">
        <v>0.25</v>
      </c>
      <c r="S42" s="782">
        <f t="shared" si="2"/>
        <v>0.9</v>
      </c>
      <c r="T42" s="782"/>
      <c r="U42" s="352"/>
    </row>
    <row r="43" spans="2:23" ht="15.5">
      <c r="B43" s="327"/>
      <c r="C43" s="334"/>
      <c r="D43" s="804"/>
      <c r="E43" s="805"/>
      <c r="F43" s="800"/>
      <c r="G43" s="801"/>
      <c r="H43" s="331"/>
      <c r="I43" s="335"/>
      <c r="J43" s="345">
        <f t="shared" si="1"/>
        <v>0</v>
      </c>
      <c r="K43" s="806"/>
      <c r="L43" s="807"/>
      <c r="M43" s="335"/>
      <c r="N43" s="348"/>
      <c r="O43" s="335"/>
      <c r="P43" s="784"/>
      <c r="Q43" s="807"/>
      <c r="R43" s="335"/>
      <c r="S43" s="782">
        <f t="shared" si="2"/>
        <v>0</v>
      </c>
      <c r="T43" s="782"/>
      <c r="U43" s="352"/>
    </row>
    <row r="44" spans="2:23" ht="15.5">
      <c r="B44" s="327"/>
      <c r="C44" s="328"/>
      <c r="D44" s="804"/>
      <c r="E44" s="805"/>
      <c r="F44" s="800"/>
      <c r="G44" s="801"/>
      <c r="H44" s="331"/>
      <c r="I44" s="335"/>
      <c r="J44" s="345">
        <f t="shared" si="1"/>
        <v>0</v>
      </c>
      <c r="K44" s="806"/>
      <c r="L44" s="807"/>
      <c r="M44" s="335"/>
      <c r="N44" s="348"/>
      <c r="O44" s="335"/>
      <c r="P44" s="784"/>
      <c r="Q44" s="807"/>
      <c r="R44" s="335"/>
      <c r="S44" s="782">
        <f t="shared" si="2"/>
        <v>0</v>
      </c>
      <c r="T44" s="782"/>
      <c r="U44" s="352"/>
    </row>
    <row r="45" spans="2:23" ht="15.5">
      <c r="B45" s="327"/>
      <c r="C45" s="328"/>
      <c r="D45" s="804"/>
      <c r="E45" s="805"/>
      <c r="F45" s="800"/>
      <c r="G45" s="801"/>
      <c r="H45" s="331"/>
      <c r="I45" s="335"/>
      <c r="J45" s="345">
        <f t="shared" si="1"/>
        <v>0</v>
      </c>
      <c r="K45" s="806"/>
      <c r="L45" s="807"/>
      <c r="M45" s="335"/>
      <c r="N45" s="348"/>
      <c r="O45" s="335"/>
      <c r="P45" s="784"/>
      <c r="Q45" s="807"/>
      <c r="R45" s="335"/>
      <c r="S45" s="782">
        <f t="shared" si="2"/>
        <v>0</v>
      </c>
      <c r="T45" s="782"/>
      <c r="U45" s="352"/>
    </row>
    <row r="46" spans="2:23" ht="15.5">
      <c r="B46" s="327"/>
      <c r="C46" s="334"/>
      <c r="D46" s="804"/>
      <c r="E46" s="805"/>
      <c r="F46" s="800"/>
      <c r="G46" s="801"/>
      <c r="H46" s="331"/>
      <c r="I46" s="335"/>
      <c r="J46" s="345">
        <f t="shared" si="1"/>
        <v>0</v>
      </c>
      <c r="K46" s="806"/>
      <c r="L46" s="807"/>
      <c r="M46" s="335"/>
      <c r="N46" s="348"/>
      <c r="O46" s="335"/>
      <c r="P46" s="784"/>
      <c r="Q46" s="807"/>
      <c r="R46" s="335"/>
      <c r="S46" s="782">
        <f t="shared" si="2"/>
        <v>0</v>
      </c>
      <c r="T46" s="782"/>
      <c r="U46" s="352"/>
      <c r="W46" s="353" t="s">
        <v>360</v>
      </c>
    </row>
    <row r="47" spans="2:23" ht="15.5">
      <c r="B47" s="327"/>
      <c r="C47" s="328"/>
      <c r="D47" s="804"/>
      <c r="E47" s="805"/>
      <c r="F47" s="800"/>
      <c r="G47" s="801"/>
      <c r="H47" s="331"/>
      <c r="I47" s="335"/>
      <c r="J47" s="345">
        <f t="shared" si="1"/>
        <v>0</v>
      </c>
      <c r="K47" s="806"/>
      <c r="L47" s="807"/>
      <c r="M47" s="335"/>
      <c r="N47" s="348"/>
      <c r="O47" s="335"/>
      <c r="P47" s="784"/>
      <c r="Q47" s="807"/>
      <c r="R47" s="335"/>
      <c r="S47" s="782">
        <f t="shared" si="2"/>
        <v>0</v>
      </c>
      <c r="T47" s="782"/>
      <c r="U47" s="352"/>
    </row>
    <row r="48" spans="2:23" ht="15.5">
      <c r="B48" s="327"/>
      <c r="C48" s="328"/>
      <c r="D48" s="808"/>
      <c r="E48" s="809"/>
      <c r="F48" s="810"/>
      <c r="G48" s="810"/>
      <c r="H48" s="331"/>
      <c r="I48" s="335"/>
      <c r="J48" s="345">
        <v>0</v>
      </c>
      <c r="K48" s="806"/>
      <c r="L48" s="807"/>
      <c r="M48" s="335"/>
      <c r="N48" s="348"/>
      <c r="O48" s="335"/>
      <c r="P48" s="811"/>
      <c r="Q48" s="811"/>
      <c r="R48" s="335"/>
      <c r="S48" s="782">
        <f t="shared" si="2"/>
        <v>0</v>
      </c>
      <c r="T48" s="782"/>
      <c r="U48" s="352"/>
    </row>
    <row r="49" spans="2:23" ht="15.5">
      <c r="B49" s="327"/>
      <c r="C49" s="328"/>
      <c r="D49" s="332"/>
      <c r="E49" s="333"/>
      <c r="F49" s="329"/>
      <c r="G49" s="330"/>
      <c r="H49" s="331"/>
      <c r="I49" s="335"/>
      <c r="J49" s="345"/>
      <c r="K49" s="806"/>
      <c r="L49" s="807"/>
      <c r="M49" s="335"/>
      <c r="N49" s="348"/>
      <c r="O49" s="335"/>
      <c r="P49" s="811"/>
      <c r="Q49" s="811"/>
      <c r="R49" s="335"/>
      <c r="S49" s="782"/>
      <c r="T49" s="782"/>
      <c r="U49" s="352"/>
    </row>
    <row r="50" spans="2:23" ht="15.5">
      <c r="B50" s="327"/>
      <c r="C50" s="336"/>
      <c r="D50" s="804"/>
      <c r="E50" s="805"/>
      <c r="F50" s="810"/>
      <c r="G50" s="810"/>
      <c r="H50" s="331"/>
      <c r="I50" s="335"/>
      <c r="J50" s="345"/>
      <c r="K50" s="806"/>
      <c r="L50" s="807"/>
      <c r="M50" s="335"/>
      <c r="N50" s="348"/>
      <c r="O50" s="335"/>
      <c r="P50" s="811"/>
      <c r="Q50" s="811"/>
      <c r="R50" s="335"/>
      <c r="S50" s="782"/>
      <c r="T50" s="782"/>
      <c r="U50" s="352"/>
    </row>
    <row r="51" spans="2:23" ht="15.5">
      <c r="B51" s="327"/>
      <c r="C51" s="336"/>
      <c r="D51" s="804"/>
      <c r="E51" s="805"/>
      <c r="F51" s="800"/>
      <c r="G51" s="801"/>
      <c r="H51" s="331"/>
      <c r="I51" s="335"/>
      <c r="J51" s="345"/>
      <c r="K51" s="806"/>
      <c r="L51" s="807"/>
      <c r="M51" s="335"/>
      <c r="N51" s="348"/>
      <c r="O51" s="335"/>
      <c r="P51" s="784"/>
      <c r="Q51" s="807"/>
      <c r="R51" s="335"/>
      <c r="S51" s="782"/>
      <c r="T51" s="782"/>
      <c r="U51" s="352"/>
    </row>
    <row r="52" spans="2:23" ht="15.5">
      <c r="B52" s="327"/>
      <c r="C52" s="337"/>
      <c r="D52" s="804"/>
      <c r="E52" s="805"/>
      <c r="F52" s="800"/>
      <c r="G52" s="801"/>
      <c r="H52" s="331"/>
      <c r="I52" s="335"/>
      <c r="J52" s="345"/>
      <c r="K52" s="806"/>
      <c r="L52" s="807"/>
      <c r="M52" s="335"/>
      <c r="N52" s="348"/>
      <c r="O52" s="335"/>
      <c r="P52" s="784"/>
      <c r="Q52" s="807"/>
      <c r="R52" s="335"/>
      <c r="S52" s="782"/>
      <c r="T52" s="782"/>
      <c r="U52" s="352"/>
    </row>
    <row r="53" spans="2:23" ht="15.5">
      <c r="B53" s="327"/>
      <c r="C53" s="337"/>
      <c r="D53" s="804"/>
      <c r="E53" s="805"/>
      <c r="F53" s="800"/>
      <c r="G53" s="801"/>
      <c r="H53" s="331"/>
      <c r="I53" s="335"/>
      <c r="J53" s="345"/>
      <c r="K53" s="806"/>
      <c r="L53" s="807"/>
      <c r="M53" s="335"/>
      <c r="N53" s="348"/>
      <c r="O53" s="335"/>
      <c r="P53" s="784"/>
      <c r="Q53" s="807"/>
      <c r="R53" s="335"/>
      <c r="S53" s="782"/>
      <c r="T53" s="782"/>
      <c r="U53" s="352"/>
    </row>
    <row r="54" spans="2:23">
      <c r="F54" s="338"/>
      <c r="G54" s="338"/>
      <c r="O54" s="349"/>
    </row>
    <row r="57" spans="2:23" ht="16.5" customHeight="1">
      <c r="B57" s="812" t="s">
        <v>361</v>
      </c>
      <c r="C57" s="813"/>
      <c r="D57" s="813"/>
      <c r="E57" s="813"/>
      <c r="F57" s="814"/>
      <c r="G57" s="1043" t="s">
        <v>362</v>
      </c>
      <c r="H57" s="1044"/>
      <c r="I57" s="1044"/>
      <c r="J57" s="1044"/>
      <c r="K57" s="1044"/>
      <c r="L57" s="1044"/>
      <c r="M57" s="1044"/>
      <c r="N57" s="1044"/>
      <c r="O57" s="1044"/>
      <c r="P57" s="1044"/>
      <c r="Q57" s="1044"/>
      <c r="R57" s="1044"/>
      <c r="S57" s="1044"/>
      <c r="T57" s="1044"/>
      <c r="U57" s="1044"/>
      <c r="V57" s="1044"/>
      <c r="W57" s="1045"/>
    </row>
    <row r="58" spans="2:23" ht="16.5" customHeight="1">
      <c r="B58" s="339"/>
      <c r="C58" s="340"/>
      <c r="D58" s="815" t="s">
        <v>118</v>
      </c>
      <c r="E58" s="816"/>
      <c r="F58" s="341" t="s">
        <v>119</v>
      </c>
      <c r="G58" s="1046"/>
      <c r="H58" s="1047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8"/>
    </row>
    <row r="59" spans="2:23" ht="16.5" customHeight="1">
      <c r="B59" s="817" t="s">
        <v>15</v>
      </c>
      <c r="C59" s="818"/>
      <c r="D59" s="819"/>
      <c r="E59" s="820"/>
      <c r="F59" s="342"/>
      <c r="G59" s="1046"/>
      <c r="H59" s="104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8"/>
    </row>
    <row r="60" spans="2:23" ht="16.5" customHeight="1">
      <c r="B60" s="817" t="s">
        <v>12</v>
      </c>
      <c r="C60" s="818"/>
      <c r="D60" s="819">
        <v>1</v>
      </c>
      <c r="E60" s="820"/>
      <c r="F60" s="342">
        <v>0</v>
      </c>
      <c r="G60" s="1046"/>
      <c r="H60" s="1047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8"/>
    </row>
    <row r="61" spans="2:23" ht="16.5" customHeight="1">
      <c r="B61" s="817" t="s">
        <v>18</v>
      </c>
      <c r="C61" s="818"/>
      <c r="D61" s="819">
        <v>2</v>
      </c>
      <c r="E61" s="820"/>
      <c r="F61" s="342">
        <v>0</v>
      </c>
      <c r="G61" s="1046"/>
      <c r="H61" s="104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8"/>
    </row>
    <row r="62" spans="2:23" ht="16.5" customHeight="1">
      <c r="B62" s="817" t="s">
        <v>24</v>
      </c>
      <c r="C62" s="818"/>
      <c r="D62" s="819">
        <v>3</v>
      </c>
      <c r="E62" s="820"/>
      <c r="F62" s="342">
        <v>0</v>
      </c>
      <c r="G62" s="1046"/>
      <c r="H62" s="1047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8"/>
    </row>
    <row r="63" spans="2:23" ht="16.5" customHeight="1">
      <c r="B63" s="817"/>
      <c r="C63" s="818"/>
      <c r="D63" s="819"/>
      <c r="E63" s="820"/>
      <c r="F63" s="342"/>
      <c r="G63" s="1046"/>
      <c r="H63" s="104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8"/>
    </row>
    <row r="64" spans="2:23" ht="16.5" customHeight="1">
      <c r="B64" s="821"/>
      <c r="C64" s="822"/>
      <c r="D64" s="823"/>
      <c r="E64" s="824"/>
      <c r="F64" s="343"/>
      <c r="G64" s="1049"/>
      <c r="H64" s="1050"/>
      <c r="I64" s="1050"/>
      <c r="J64" s="1050"/>
      <c r="K64" s="1050"/>
      <c r="L64" s="1050"/>
      <c r="M64" s="1050"/>
      <c r="N64" s="1050"/>
      <c r="O64" s="1050"/>
      <c r="P64" s="1050"/>
      <c r="Q64" s="1050"/>
      <c r="R64" s="1050"/>
      <c r="S64" s="1050"/>
      <c r="T64" s="1050"/>
      <c r="U64" s="1050"/>
      <c r="V64" s="1050"/>
      <c r="W64" s="1051"/>
    </row>
    <row r="65" spans="2:24" ht="15.5">
      <c r="B65" s="812" t="s">
        <v>363</v>
      </c>
      <c r="C65" s="813"/>
      <c r="D65" s="825"/>
      <c r="E65" s="826" t="s">
        <v>364</v>
      </c>
      <c r="F65" s="827"/>
      <c r="G65" s="827" t="s">
        <v>365</v>
      </c>
      <c r="H65" s="827"/>
      <c r="I65" s="827"/>
      <c r="J65" s="827" t="s">
        <v>366</v>
      </c>
      <c r="K65" s="827"/>
      <c r="L65" s="827" t="s">
        <v>367</v>
      </c>
      <c r="M65" s="828"/>
      <c r="N65" s="829" t="s">
        <v>368</v>
      </c>
      <c r="O65" s="830"/>
      <c r="P65" s="830"/>
      <c r="Q65" s="830"/>
      <c r="R65" s="830"/>
      <c r="S65" s="830"/>
      <c r="T65" s="830"/>
      <c r="U65" s="830"/>
      <c r="V65" s="830"/>
      <c r="W65" s="831"/>
      <c r="X65" s="98"/>
    </row>
    <row r="66" spans="2:24">
      <c r="B66" s="832" t="s">
        <v>369</v>
      </c>
      <c r="C66" s="833"/>
      <c r="D66" s="833"/>
      <c r="E66" s="834"/>
      <c r="F66" s="835"/>
      <c r="G66" s="836" t="s">
        <v>370</v>
      </c>
      <c r="H66" s="837"/>
      <c r="I66" s="838"/>
      <c r="J66" s="839"/>
      <c r="K66" s="834"/>
      <c r="L66" s="834"/>
      <c r="M66" s="834"/>
      <c r="N66" s="840"/>
      <c r="O66" s="840"/>
      <c r="P66" s="840"/>
      <c r="Q66" s="840"/>
      <c r="R66" s="840"/>
      <c r="S66" s="840"/>
      <c r="T66" s="840"/>
      <c r="U66" s="840"/>
      <c r="V66" s="840"/>
      <c r="W66" s="841"/>
      <c r="X66" s="98"/>
    </row>
    <row r="67" spans="2:24">
      <c r="B67" s="832" t="s">
        <v>371</v>
      </c>
      <c r="C67" s="833"/>
      <c r="D67" s="833"/>
      <c r="E67" s="834" t="s">
        <v>331</v>
      </c>
      <c r="F67" s="835"/>
      <c r="G67" s="832" t="s">
        <v>369</v>
      </c>
      <c r="H67" s="833"/>
      <c r="I67" s="842"/>
      <c r="J67" s="843"/>
      <c r="K67" s="844"/>
      <c r="L67" s="845"/>
      <c r="M67" s="843"/>
      <c r="N67" s="840" t="s">
        <v>372</v>
      </c>
      <c r="O67" s="840"/>
      <c r="P67" s="840"/>
      <c r="Q67" s="840"/>
      <c r="R67" s="840"/>
      <c r="S67" s="840"/>
      <c r="T67" s="840"/>
      <c r="U67" s="840"/>
      <c r="V67" s="840"/>
      <c r="W67" s="841"/>
      <c r="X67" s="98"/>
    </row>
    <row r="68" spans="2:24">
      <c r="B68" s="832" t="s">
        <v>370</v>
      </c>
      <c r="C68" s="833"/>
      <c r="D68" s="833"/>
      <c r="E68" s="806" t="s">
        <v>373</v>
      </c>
      <c r="F68" s="846"/>
      <c r="G68" s="832" t="s">
        <v>369</v>
      </c>
      <c r="H68" s="833"/>
      <c r="I68" s="842"/>
      <c r="J68" s="843"/>
      <c r="K68" s="844"/>
      <c r="L68" s="845"/>
      <c r="M68" s="843"/>
      <c r="N68" s="840" t="s">
        <v>374</v>
      </c>
      <c r="O68" s="840"/>
      <c r="P68" s="840"/>
      <c r="Q68" s="840"/>
      <c r="R68" s="840"/>
      <c r="S68" s="840"/>
      <c r="T68" s="840"/>
      <c r="U68" s="840"/>
      <c r="V68" s="840"/>
      <c r="W68" s="841"/>
      <c r="X68" s="98"/>
    </row>
    <row r="69" spans="2:24">
      <c r="B69" s="832" t="s">
        <v>375</v>
      </c>
      <c r="C69" s="833"/>
      <c r="D69" s="833"/>
      <c r="E69" s="806"/>
      <c r="F69" s="846"/>
      <c r="G69" s="832" t="s">
        <v>369</v>
      </c>
      <c r="H69" s="833"/>
      <c r="I69" s="842"/>
      <c r="J69" s="847"/>
      <c r="K69" s="843"/>
      <c r="L69" s="844"/>
      <c r="M69" s="844"/>
      <c r="N69" s="848"/>
      <c r="O69" s="849"/>
      <c r="P69" s="849"/>
      <c r="Q69" s="849"/>
      <c r="R69" s="849"/>
      <c r="S69" s="849"/>
      <c r="T69" s="849"/>
      <c r="U69" s="849"/>
      <c r="V69" s="849"/>
      <c r="W69" s="850"/>
      <c r="X69" s="98"/>
    </row>
    <row r="70" spans="2:24" ht="15.5">
      <c r="B70" s="851"/>
      <c r="C70" s="852"/>
      <c r="D70" s="853"/>
      <c r="E70" s="854"/>
      <c r="F70" s="846"/>
      <c r="G70" s="832" t="s">
        <v>369</v>
      </c>
      <c r="H70" s="833"/>
      <c r="I70" s="842"/>
      <c r="J70" s="843"/>
      <c r="K70" s="844"/>
      <c r="L70" s="845"/>
      <c r="M70" s="843"/>
      <c r="N70" s="848"/>
      <c r="O70" s="848"/>
      <c r="P70" s="848"/>
      <c r="Q70" s="848"/>
      <c r="R70" s="848"/>
      <c r="S70" s="848"/>
      <c r="T70" s="848"/>
      <c r="U70" s="848"/>
      <c r="V70" s="848"/>
      <c r="W70" s="855"/>
    </row>
    <row r="71" spans="2:24">
      <c r="B71" s="354"/>
      <c r="C71" s="355"/>
      <c r="D71" s="356"/>
      <c r="E71" s="844"/>
      <c r="F71" s="845"/>
      <c r="G71" s="856"/>
      <c r="H71" s="857"/>
      <c r="I71" s="858"/>
      <c r="J71" s="843"/>
      <c r="K71" s="844"/>
      <c r="L71" s="844"/>
      <c r="M71" s="844"/>
      <c r="N71" s="848"/>
      <c r="O71" s="848"/>
      <c r="P71" s="848"/>
      <c r="Q71" s="848"/>
      <c r="R71" s="848"/>
      <c r="S71" s="848"/>
      <c r="T71" s="848"/>
      <c r="U71" s="848"/>
      <c r="V71" s="848"/>
      <c r="W71" s="855"/>
    </row>
    <row r="72" spans="2:24">
      <c r="B72" s="354"/>
      <c r="C72" s="355"/>
      <c r="D72" s="356"/>
      <c r="E72" s="844"/>
      <c r="F72" s="845"/>
      <c r="G72" s="859"/>
      <c r="H72" s="859"/>
      <c r="I72" s="859"/>
      <c r="J72" s="843"/>
      <c r="K72" s="844"/>
      <c r="L72" s="844"/>
      <c r="M72" s="844"/>
      <c r="N72" s="848"/>
      <c r="O72" s="848"/>
      <c r="P72" s="848"/>
      <c r="Q72" s="848"/>
      <c r="R72" s="848"/>
      <c r="S72" s="848"/>
      <c r="T72" s="848"/>
      <c r="U72" s="848"/>
      <c r="V72" s="848"/>
      <c r="W72" s="855"/>
    </row>
    <row r="73" spans="2:24">
      <c r="B73" s="354"/>
      <c r="C73" s="355"/>
      <c r="D73" s="356"/>
      <c r="E73" s="844"/>
      <c r="F73" s="844"/>
      <c r="G73" s="859"/>
      <c r="H73" s="859"/>
      <c r="I73" s="859"/>
      <c r="J73" s="843"/>
      <c r="K73" s="844"/>
      <c r="L73" s="844"/>
      <c r="M73" s="844"/>
      <c r="N73" s="849"/>
      <c r="O73" s="849"/>
      <c r="P73" s="849"/>
      <c r="Q73" s="849"/>
      <c r="R73" s="849"/>
      <c r="S73" s="849"/>
      <c r="T73" s="849"/>
      <c r="U73" s="849"/>
      <c r="V73" s="849"/>
      <c r="W73" s="850"/>
    </row>
    <row r="74" spans="2:24">
      <c r="B74" s="354"/>
      <c r="C74" s="355"/>
      <c r="D74" s="356"/>
      <c r="E74" s="844"/>
      <c r="F74" s="844"/>
      <c r="G74" s="860"/>
      <c r="H74" s="860"/>
      <c r="I74" s="860"/>
      <c r="J74" s="844"/>
      <c r="K74" s="844"/>
      <c r="L74" s="844"/>
      <c r="M74" s="844"/>
      <c r="N74" s="849"/>
      <c r="O74" s="849"/>
      <c r="P74" s="849"/>
      <c r="Q74" s="849"/>
      <c r="R74" s="849"/>
      <c r="S74" s="849"/>
      <c r="T74" s="849"/>
      <c r="U74" s="849"/>
      <c r="V74" s="849"/>
      <c r="W74" s="850"/>
    </row>
    <row r="75" spans="2:24">
      <c r="B75" s="354"/>
      <c r="C75" s="355"/>
      <c r="D75" s="356"/>
      <c r="E75" s="844"/>
      <c r="F75" s="844"/>
      <c r="G75" s="860"/>
      <c r="H75" s="860"/>
      <c r="I75" s="860"/>
      <c r="J75" s="844"/>
      <c r="K75" s="844"/>
      <c r="L75" s="844"/>
      <c r="M75" s="844"/>
      <c r="N75" s="849"/>
      <c r="O75" s="849"/>
      <c r="P75" s="849"/>
      <c r="Q75" s="849"/>
      <c r="R75" s="849"/>
      <c r="S75" s="849"/>
      <c r="T75" s="849"/>
      <c r="U75" s="849"/>
      <c r="V75" s="849"/>
      <c r="W75" s="850"/>
    </row>
    <row r="76" spans="2:24">
      <c r="B76" s="354"/>
      <c r="C76" s="355"/>
      <c r="D76" s="356"/>
      <c r="E76" s="844"/>
      <c r="F76" s="844"/>
      <c r="G76" s="860"/>
      <c r="H76" s="860"/>
      <c r="I76" s="860"/>
      <c r="J76" s="844"/>
      <c r="K76" s="844"/>
      <c r="L76" s="844"/>
      <c r="M76" s="844"/>
      <c r="N76" s="849"/>
      <c r="O76" s="849"/>
      <c r="P76" s="849"/>
      <c r="Q76" s="849"/>
      <c r="R76" s="849"/>
      <c r="S76" s="849"/>
      <c r="T76" s="849"/>
      <c r="U76" s="849"/>
      <c r="V76" s="849"/>
      <c r="W76" s="850"/>
    </row>
    <row r="77" spans="2:24">
      <c r="B77" s="354"/>
      <c r="C77" s="355"/>
      <c r="D77" s="356"/>
      <c r="E77" s="844"/>
      <c r="F77" s="844"/>
      <c r="G77" s="860"/>
      <c r="H77" s="860"/>
      <c r="I77" s="860"/>
      <c r="J77" s="844"/>
      <c r="K77" s="844"/>
      <c r="L77" s="844"/>
      <c r="M77" s="844"/>
      <c r="N77" s="849"/>
      <c r="O77" s="849"/>
      <c r="P77" s="849"/>
      <c r="Q77" s="849"/>
      <c r="R77" s="849"/>
      <c r="S77" s="849"/>
      <c r="T77" s="849"/>
      <c r="U77" s="849"/>
      <c r="V77" s="849"/>
      <c r="W77" s="850"/>
    </row>
    <row r="78" spans="2:24">
      <c r="B78" s="354"/>
      <c r="C78" s="355"/>
      <c r="D78" s="356"/>
      <c r="E78" s="844"/>
      <c r="F78" s="844"/>
      <c r="G78" s="860"/>
      <c r="H78" s="860"/>
      <c r="I78" s="860"/>
      <c r="J78" s="844"/>
      <c r="K78" s="844"/>
      <c r="L78" s="844"/>
      <c r="M78" s="844"/>
      <c r="N78" s="849"/>
      <c r="O78" s="849"/>
      <c r="P78" s="849"/>
      <c r="Q78" s="849"/>
      <c r="R78" s="849"/>
      <c r="S78" s="849"/>
      <c r="T78" s="849"/>
      <c r="U78" s="849"/>
      <c r="V78" s="849"/>
      <c r="W78" s="850"/>
    </row>
    <row r="79" spans="2:24">
      <c r="B79" s="358"/>
      <c r="C79" s="359"/>
      <c r="D79" s="360"/>
      <c r="E79" s="861"/>
      <c r="F79" s="861"/>
      <c r="G79" s="862"/>
      <c r="H79" s="862"/>
      <c r="I79" s="862"/>
      <c r="J79" s="861"/>
      <c r="K79" s="861"/>
      <c r="L79" s="861"/>
      <c r="M79" s="861"/>
      <c r="N79" s="863"/>
      <c r="O79" s="863"/>
      <c r="P79" s="863"/>
      <c r="Q79" s="863"/>
      <c r="R79" s="863"/>
      <c r="S79" s="863"/>
      <c r="T79" s="863"/>
      <c r="U79" s="863"/>
      <c r="V79" s="863"/>
      <c r="W79" s="864"/>
    </row>
    <row r="82" spans="2:31" ht="46">
      <c r="B82" s="865" t="s">
        <v>376</v>
      </c>
      <c r="C82" s="866"/>
      <c r="D82" s="866"/>
      <c r="E82" s="866"/>
      <c r="F82" s="866"/>
      <c r="G82" s="866"/>
      <c r="H82" s="866"/>
      <c r="I82" s="866"/>
      <c r="J82" s="866"/>
      <c r="K82" s="866"/>
      <c r="L82" s="866"/>
      <c r="M82" s="866"/>
      <c r="N82" s="866"/>
      <c r="O82" s="866"/>
      <c r="P82" s="866"/>
      <c r="Q82" s="866"/>
      <c r="R82" s="866"/>
      <c r="S82" s="866"/>
      <c r="T82" s="866"/>
      <c r="U82" s="866"/>
      <c r="V82" s="866"/>
      <c r="W82" s="866"/>
      <c r="X82" s="866"/>
      <c r="Y82" s="866"/>
      <c r="Z82" s="866"/>
      <c r="AA82" s="866"/>
      <c r="AB82" s="866"/>
      <c r="AC82" s="866"/>
      <c r="AD82" s="866"/>
      <c r="AE82" s="867"/>
    </row>
    <row r="83" spans="2:31" ht="38.25" customHeight="1">
      <c r="B83" s="1052" t="s">
        <v>117</v>
      </c>
      <c r="C83" s="1053"/>
      <c r="D83" s="868" t="s">
        <v>377</v>
      </c>
      <c r="E83" s="869"/>
      <c r="F83" s="870" t="s">
        <v>378</v>
      </c>
      <c r="G83" s="871"/>
      <c r="H83" s="870" t="s">
        <v>379</v>
      </c>
      <c r="I83" s="872"/>
      <c r="J83" s="868" t="s">
        <v>380</v>
      </c>
      <c r="K83" s="873"/>
      <c r="L83" s="868" t="s">
        <v>381</v>
      </c>
      <c r="M83" s="869"/>
      <c r="N83" s="874"/>
      <c r="O83" s="875"/>
      <c r="P83" s="876" t="s">
        <v>382</v>
      </c>
      <c r="Q83" s="871"/>
      <c r="R83" s="871"/>
      <c r="S83" s="871"/>
      <c r="T83" s="871"/>
      <c r="U83" s="877"/>
      <c r="V83" s="878"/>
      <c r="W83" s="879"/>
      <c r="X83" s="879"/>
      <c r="Y83" s="879"/>
      <c r="Z83" s="879"/>
      <c r="AA83" s="879"/>
      <c r="AB83" s="879"/>
      <c r="AC83" s="879"/>
      <c r="AD83" s="879"/>
      <c r="AE83" s="880"/>
    </row>
    <row r="84" spans="2:31" ht="42.75" customHeight="1">
      <c r="B84" s="1054"/>
      <c r="C84" s="1055"/>
      <c r="D84" s="361" t="s">
        <v>216</v>
      </c>
      <c r="E84" s="362" t="s">
        <v>383</v>
      </c>
      <c r="F84" s="361" t="s">
        <v>216</v>
      </c>
      <c r="G84" s="362" t="s">
        <v>383</v>
      </c>
      <c r="H84" s="361" t="s">
        <v>216</v>
      </c>
      <c r="I84" s="362" t="s">
        <v>383</v>
      </c>
      <c r="J84" s="361" t="s">
        <v>216</v>
      </c>
      <c r="K84" s="362" t="s">
        <v>383</v>
      </c>
      <c r="L84" s="361" t="s">
        <v>216</v>
      </c>
      <c r="M84" s="362" t="s">
        <v>383</v>
      </c>
      <c r="N84" s="881" t="s">
        <v>384</v>
      </c>
      <c r="O84" s="882"/>
      <c r="P84" s="883" t="s">
        <v>385</v>
      </c>
      <c r="Q84" s="884"/>
      <c r="R84" s="883" t="s">
        <v>386</v>
      </c>
      <c r="S84" s="885"/>
      <c r="T84" s="886" t="s">
        <v>387</v>
      </c>
      <c r="U84" s="884"/>
      <c r="V84" s="887" t="s">
        <v>388</v>
      </c>
      <c r="W84" s="888"/>
      <c r="X84" s="889" t="s">
        <v>123</v>
      </c>
      <c r="Y84" s="890"/>
      <c r="Z84" s="890"/>
      <c r="AA84" s="890"/>
      <c r="AB84" s="890"/>
      <c r="AC84" s="890"/>
      <c r="AD84" s="890"/>
      <c r="AE84" s="891"/>
    </row>
    <row r="85" spans="2:31">
      <c r="B85" s="892" t="s">
        <v>15</v>
      </c>
      <c r="C85" s="893"/>
      <c r="D85" s="363"/>
      <c r="E85" s="357"/>
      <c r="F85" s="363"/>
      <c r="G85" s="357"/>
      <c r="H85" s="363"/>
      <c r="I85" s="357"/>
      <c r="J85" s="363"/>
      <c r="K85" s="357"/>
      <c r="L85" s="363"/>
      <c r="M85" s="357"/>
      <c r="N85" s="894"/>
      <c r="O85" s="894"/>
      <c r="P85" s="895"/>
      <c r="Q85" s="895"/>
      <c r="R85" s="896"/>
      <c r="S85" s="897"/>
      <c r="T85" s="895"/>
      <c r="U85" s="895"/>
      <c r="V85" s="895"/>
      <c r="W85" s="895"/>
      <c r="X85" s="898"/>
      <c r="Y85" s="898"/>
      <c r="Z85" s="898"/>
      <c r="AA85" s="898"/>
      <c r="AB85" s="898"/>
      <c r="AC85" s="898"/>
      <c r="AD85" s="898"/>
      <c r="AE85" s="898"/>
    </row>
    <row r="86" spans="2:31">
      <c r="B86" s="892" t="s">
        <v>12</v>
      </c>
      <c r="C86" s="893"/>
      <c r="D86" s="363">
        <v>1</v>
      </c>
      <c r="E86" s="357">
        <v>1</v>
      </c>
      <c r="F86" s="363">
        <v>1</v>
      </c>
      <c r="G86" s="357">
        <v>1</v>
      </c>
      <c r="H86" s="363"/>
      <c r="I86" s="357"/>
      <c r="J86" s="363"/>
      <c r="K86" s="357"/>
      <c r="L86" s="363"/>
      <c r="M86" s="357"/>
      <c r="N86" s="894"/>
      <c r="O86" s="894"/>
      <c r="P86" s="899">
        <v>2</v>
      </c>
      <c r="Q86" s="900"/>
      <c r="R86" s="899" t="s">
        <v>354</v>
      </c>
      <c r="S86" s="900"/>
      <c r="T86" s="895" t="s">
        <v>353</v>
      </c>
      <c r="U86" s="895"/>
      <c r="V86" s="895" t="s">
        <v>353</v>
      </c>
      <c r="W86" s="895"/>
      <c r="X86" s="901"/>
      <c r="Y86" s="902"/>
      <c r="Z86" s="902"/>
      <c r="AA86" s="902"/>
      <c r="AB86" s="902"/>
      <c r="AC86" s="902"/>
      <c r="AD86" s="902"/>
      <c r="AE86" s="903"/>
    </row>
    <row r="87" spans="2:31">
      <c r="B87" s="892" t="s">
        <v>18</v>
      </c>
      <c r="C87" s="893"/>
      <c r="D87" s="363"/>
      <c r="E87" s="357"/>
      <c r="F87" s="363"/>
      <c r="G87" s="357"/>
      <c r="H87" s="363"/>
      <c r="I87" s="357"/>
      <c r="J87" s="363"/>
      <c r="K87" s="357"/>
      <c r="L87" s="363"/>
      <c r="M87" s="357"/>
      <c r="N87" s="894"/>
      <c r="O87" s="894"/>
      <c r="P87" s="899"/>
      <c r="Q87" s="900"/>
      <c r="R87" s="899"/>
      <c r="S87" s="900"/>
      <c r="T87" s="895"/>
      <c r="U87" s="895"/>
      <c r="V87" s="895"/>
      <c r="W87" s="895"/>
      <c r="X87" s="901"/>
      <c r="Y87" s="902"/>
      <c r="Z87" s="902"/>
      <c r="AA87" s="902"/>
      <c r="AB87" s="902"/>
      <c r="AC87" s="902"/>
      <c r="AD87" s="902"/>
      <c r="AE87" s="903"/>
    </row>
    <row r="88" spans="2:31">
      <c r="B88" s="892" t="s">
        <v>24</v>
      </c>
      <c r="C88" s="893"/>
      <c r="D88" s="363"/>
      <c r="E88" s="357"/>
      <c r="F88" s="363"/>
      <c r="G88" s="357"/>
      <c r="H88" s="363"/>
      <c r="I88" s="357"/>
      <c r="J88" s="363"/>
      <c r="K88" s="357"/>
      <c r="L88" s="363"/>
      <c r="M88" s="357"/>
      <c r="N88" s="894"/>
      <c r="O88" s="894"/>
      <c r="P88" s="899"/>
      <c r="Q88" s="900"/>
      <c r="R88" s="899"/>
      <c r="S88" s="900"/>
      <c r="T88" s="895"/>
      <c r="U88" s="895"/>
      <c r="V88" s="895"/>
      <c r="W88" s="895"/>
      <c r="X88" s="901"/>
      <c r="Y88" s="902"/>
      <c r="Z88" s="902"/>
      <c r="AA88" s="902"/>
      <c r="AB88" s="902"/>
      <c r="AC88" s="902"/>
      <c r="AD88" s="902"/>
      <c r="AE88" s="903"/>
    </row>
    <row r="89" spans="2:31">
      <c r="B89" s="892" t="s">
        <v>30</v>
      </c>
      <c r="C89" s="893"/>
      <c r="D89" s="363">
        <v>2</v>
      </c>
      <c r="E89" s="357">
        <v>1</v>
      </c>
      <c r="F89" s="363">
        <v>1</v>
      </c>
      <c r="G89" s="357">
        <v>1</v>
      </c>
      <c r="H89" s="363"/>
      <c r="I89" s="357"/>
      <c r="J89" s="363"/>
      <c r="K89" s="357"/>
      <c r="L89" s="363"/>
      <c r="M89" s="357"/>
      <c r="N89" s="894"/>
      <c r="O89" s="894"/>
      <c r="P89" s="899">
        <v>2</v>
      </c>
      <c r="Q89" s="900"/>
      <c r="R89" s="899" t="s">
        <v>354</v>
      </c>
      <c r="S89" s="900"/>
      <c r="T89" s="895" t="s">
        <v>353</v>
      </c>
      <c r="U89" s="895"/>
      <c r="V89" s="895" t="s">
        <v>353</v>
      </c>
      <c r="W89" s="895"/>
      <c r="X89" s="901"/>
      <c r="Y89" s="902"/>
      <c r="Z89" s="902"/>
      <c r="AA89" s="902"/>
      <c r="AB89" s="902"/>
      <c r="AC89" s="902"/>
      <c r="AD89" s="902"/>
      <c r="AE89" s="903"/>
    </row>
    <row r="90" spans="2:31">
      <c r="B90" s="904" t="s">
        <v>389</v>
      </c>
      <c r="C90" s="905"/>
      <c r="D90" s="363"/>
      <c r="E90" s="357"/>
      <c r="F90" s="363"/>
      <c r="G90" s="357"/>
      <c r="H90" s="363"/>
      <c r="I90" s="357"/>
      <c r="J90" s="363"/>
      <c r="K90" s="357"/>
      <c r="L90" s="363"/>
      <c r="M90" s="357"/>
      <c r="N90" s="894"/>
      <c r="O90" s="894"/>
      <c r="P90" s="895"/>
      <c r="Q90" s="895"/>
      <c r="R90" s="899"/>
      <c r="S90" s="900"/>
      <c r="T90" s="895"/>
      <c r="U90" s="895"/>
      <c r="V90" s="895"/>
      <c r="W90" s="895"/>
      <c r="X90" s="906"/>
      <c r="Y90" s="907"/>
      <c r="Z90" s="907"/>
      <c r="AA90" s="907"/>
      <c r="AB90" s="907"/>
      <c r="AC90" s="907"/>
      <c r="AD90" s="907"/>
      <c r="AE90" s="908"/>
    </row>
    <row r="91" spans="2:31">
      <c r="B91" s="904" t="s">
        <v>127</v>
      </c>
      <c r="C91" s="905"/>
      <c r="D91" s="363">
        <v>5</v>
      </c>
      <c r="E91" s="357">
        <v>0</v>
      </c>
      <c r="F91" s="363">
        <v>1</v>
      </c>
      <c r="G91" s="357">
        <v>0</v>
      </c>
      <c r="H91" s="363"/>
      <c r="I91" s="357"/>
      <c r="J91" s="363"/>
      <c r="K91" s="357"/>
      <c r="L91" s="363"/>
      <c r="M91" s="357"/>
      <c r="N91" s="894"/>
      <c r="O91" s="894"/>
      <c r="P91" s="899"/>
      <c r="Q91" s="900"/>
      <c r="R91" s="899"/>
      <c r="S91" s="900"/>
      <c r="T91" s="895"/>
      <c r="U91" s="895"/>
      <c r="V91" s="895"/>
      <c r="W91" s="895"/>
      <c r="X91" s="901"/>
      <c r="Y91" s="902"/>
      <c r="Z91" s="902"/>
      <c r="AA91" s="902"/>
      <c r="AB91" s="902"/>
      <c r="AC91" s="902"/>
      <c r="AD91" s="902"/>
      <c r="AE91" s="903"/>
    </row>
    <row r="92" spans="2:31">
      <c r="B92" s="909" t="s">
        <v>390</v>
      </c>
      <c r="C92" s="910"/>
      <c r="D92" s="364"/>
      <c r="E92" s="365"/>
      <c r="F92" s="363"/>
      <c r="G92" s="357"/>
      <c r="H92" s="363"/>
      <c r="I92" s="357"/>
      <c r="J92" s="364"/>
      <c r="K92" s="365"/>
      <c r="L92" s="370"/>
      <c r="M92" s="371"/>
      <c r="N92" s="894" t="str">
        <f>IF(ISERROR((E92+G92+I92+K92+M92)/(D92+F92+H92+J92+L92)),"",(E92+G92+I92+K92+M92)/(D92+F92+H92+J92+L92))</f>
        <v/>
      </c>
      <c r="O92" s="894"/>
      <c r="P92" s="895"/>
      <c r="Q92" s="895"/>
      <c r="R92" s="895"/>
      <c r="S92" s="895"/>
      <c r="T92" s="895"/>
      <c r="U92" s="895"/>
      <c r="V92" s="895"/>
      <c r="W92" s="895"/>
      <c r="X92" s="898"/>
      <c r="Y92" s="898"/>
      <c r="Z92" s="898"/>
      <c r="AA92" s="898"/>
      <c r="AB92" s="898"/>
      <c r="AC92" s="898"/>
      <c r="AD92" s="898"/>
      <c r="AE92" s="898"/>
    </row>
    <row r="93" spans="2:31">
      <c r="C93" s="366"/>
      <c r="D93" s="366"/>
    </row>
    <row r="94" spans="2:31">
      <c r="C94" s="366"/>
      <c r="D94" s="366"/>
    </row>
    <row r="95" spans="2:31">
      <c r="C95" s="366"/>
      <c r="D95" s="366"/>
    </row>
    <row r="96" spans="2:31">
      <c r="C96" s="366"/>
      <c r="D96" s="366"/>
    </row>
    <row r="97" spans="1:20">
      <c r="C97" s="366"/>
      <c r="D97" s="366"/>
    </row>
    <row r="98" spans="1:20">
      <c r="C98" s="366"/>
      <c r="D98" s="366"/>
    </row>
    <row r="99" spans="1:20">
      <c r="C99" s="366"/>
      <c r="D99" s="366"/>
    </row>
    <row r="100" spans="1:20">
      <c r="C100" s="366"/>
      <c r="D100" s="366"/>
    </row>
    <row r="101" spans="1:20">
      <c r="C101" s="366"/>
      <c r="D101" s="366"/>
    </row>
    <row r="102" spans="1:20">
      <c r="C102" s="366"/>
      <c r="D102" s="366"/>
    </row>
    <row r="103" spans="1:20">
      <c r="C103" s="366"/>
      <c r="D103" s="366"/>
    </row>
    <row r="104" spans="1:20">
      <c r="C104" s="366"/>
      <c r="D104" s="366"/>
    </row>
    <row r="105" spans="1:20">
      <c r="C105" s="366"/>
      <c r="D105" s="366"/>
    </row>
    <row r="106" spans="1:20">
      <c r="C106" s="366"/>
      <c r="D106" s="366"/>
    </row>
    <row r="107" spans="1:20">
      <c r="C107" s="366"/>
      <c r="D107" s="366"/>
    </row>
    <row r="108" spans="1:20">
      <c r="C108" s="366"/>
      <c r="D108" s="366"/>
    </row>
    <row r="109" spans="1:20">
      <c r="C109" s="366"/>
      <c r="D109" s="366"/>
    </row>
    <row r="110" spans="1:20" ht="23.5">
      <c r="C110" s="367"/>
      <c r="D110" s="367"/>
      <c r="E110" s="367"/>
      <c r="F110" s="367"/>
    </row>
    <row r="111" spans="1:20" ht="46">
      <c r="B111" s="865" t="s">
        <v>129</v>
      </c>
      <c r="C111" s="866"/>
      <c r="D111" s="866"/>
      <c r="E111" s="866"/>
      <c r="F111" s="866"/>
      <c r="G111" s="866"/>
      <c r="H111" s="866"/>
      <c r="I111" s="866"/>
      <c r="J111" s="866"/>
      <c r="K111" s="866"/>
      <c r="L111" s="866"/>
      <c r="M111" s="867"/>
      <c r="N111" s="77"/>
    </row>
    <row r="112" spans="1:20" ht="72.75" customHeight="1">
      <c r="A112" s="324"/>
      <c r="B112" s="911" t="s">
        <v>130</v>
      </c>
      <c r="C112" s="912"/>
      <c r="D112" s="913" t="s">
        <v>131</v>
      </c>
      <c r="E112" s="912"/>
      <c r="F112" s="913" t="s">
        <v>132</v>
      </c>
      <c r="G112" s="912"/>
      <c r="H112" s="913" t="s">
        <v>133</v>
      </c>
      <c r="I112" s="912"/>
      <c r="J112" s="913" t="s">
        <v>391</v>
      </c>
      <c r="K112" s="912"/>
      <c r="L112" s="913" t="s">
        <v>135</v>
      </c>
      <c r="M112" s="914"/>
      <c r="N112" s="77"/>
      <c r="O112" s="372"/>
      <c r="P112" s="372"/>
      <c r="Q112" s="324"/>
      <c r="R112" s="324"/>
      <c r="S112" s="324"/>
      <c r="T112" s="324"/>
    </row>
    <row r="113" spans="1:23">
      <c r="B113" s="915" t="s">
        <v>136</v>
      </c>
      <c r="C113" s="916"/>
      <c r="D113" s="917">
        <v>2</v>
      </c>
      <c r="E113" s="918"/>
      <c r="F113" s="919">
        <v>2</v>
      </c>
      <c r="G113" s="919"/>
      <c r="H113" s="920"/>
      <c r="I113" s="921"/>
      <c r="J113" s="922"/>
      <c r="K113" s="922"/>
      <c r="L113" s="923">
        <f t="shared" ref="L113:L119" si="3">F113/D113</f>
        <v>1</v>
      </c>
      <c r="M113" s="924"/>
      <c r="N113" s="77"/>
    </row>
    <row r="114" spans="1:23">
      <c r="B114" s="925" t="s">
        <v>137</v>
      </c>
      <c r="C114" s="926"/>
      <c r="D114" s="927">
        <v>3</v>
      </c>
      <c r="E114" s="928"/>
      <c r="F114" s="811">
        <v>3</v>
      </c>
      <c r="G114" s="811"/>
      <c r="H114" s="929"/>
      <c r="I114" s="930"/>
      <c r="J114" s="929"/>
      <c r="K114" s="930"/>
      <c r="L114" s="923">
        <f t="shared" si="3"/>
        <v>1</v>
      </c>
      <c r="M114" s="924"/>
      <c r="N114" s="77"/>
    </row>
    <row r="115" spans="1:23">
      <c r="B115" s="925" t="s">
        <v>392</v>
      </c>
      <c r="C115" s="926"/>
      <c r="D115" s="927">
        <v>1</v>
      </c>
      <c r="E115" s="928"/>
      <c r="F115" s="811">
        <v>1</v>
      </c>
      <c r="G115" s="811"/>
      <c r="H115" s="929"/>
      <c r="I115" s="930"/>
      <c r="J115" s="929"/>
      <c r="K115" s="930"/>
      <c r="L115" s="931">
        <f t="shared" si="3"/>
        <v>1</v>
      </c>
      <c r="M115" s="932"/>
      <c r="N115" s="77"/>
    </row>
    <row r="116" spans="1:23">
      <c r="B116" s="925" t="s">
        <v>139</v>
      </c>
      <c r="C116" s="926"/>
      <c r="D116" s="927">
        <v>1</v>
      </c>
      <c r="E116" s="928"/>
      <c r="F116" s="811">
        <v>1</v>
      </c>
      <c r="G116" s="811"/>
      <c r="H116" s="929"/>
      <c r="I116" s="930"/>
      <c r="J116" s="929"/>
      <c r="K116" s="930"/>
      <c r="L116" s="931">
        <f t="shared" si="3"/>
        <v>1</v>
      </c>
      <c r="M116" s="932"/>
      <c r="N116" s="77"/>
    </row>
    <row r="117" spans="1:23">
      <c r="B117" s="925" t="s">
        <v>140</v>
      </c>
      <c r="C117" s="926"/>
      <c r="D117" s="933"/>
      <c r="E117" s="934"/>
      <c r="F117" s="860"/>
      <c r="G117" s="860"/>
      <c r="H117" s="929"/>
      <c r="I117" s="930"/>
      <c r="J117" s="935"/>
      <c r="K117" s="936"/>
      <c r="L117" s="931" t="e">
        <f t="shared" si="3"/>
        <v>#DIV/0!</v>
      </c>
      <c r="M117" s="932"/>
      <c r="N117" s="77"/>
    </row>
    <row r="118" spans="1:23">
      <c r="B118" s="925" t="s">
        <v>141</v>
      </c>
      <c r="C118" s="926"/>
      <c r="D118" s="927">
        <v>4</v>
      </c>
      <c r="E118" s="928"/>
      <c r="F118" s="811">
        <v>4</v>
      </c>
      <c r="G118" s="811"/>
      <c r="H118" s="929"/>
      <c r="I118" s="930"/>
      <c r="J118" s="929"/>
      <c r="K118" s="930"/>
      <c r="L118" s="931">
        <f t="shared" si="3"/>
        <v>1</v>
      </c>
      <c r="M118" s="932"/>
      <c r="N118" s="77"/>
    </row>
    <row r="119" spans="1:23">
      <c r="B119" s="937" t="s">
        <v>142</v>
      </c>
      <c r="C119" s="938"/>
      <c r="D119" s="939"/>
      <c r="E119" s="940"/>
      <c r="F119" s="941"/>
      <c r="G119" s="941"/>
      <c r="H119" s="942"/>
      <c r="I119" s="943"/>
      <c r="J119" s="942"/>
      <c r="K119" s="943"/>
      <c r="L119" s="944" t="e">
        <f t="shared" si="3"/>
        <v>#DIV/0!</v>
      </c>
      <c r="M119" s="945"/>
      <c r="N119" s="77"/>
    </row>
    <row r="120" spans="1:23">
      <c r="C120" s="366"/>
      <c r="D120" s="366"/>
    </row>
    <row r="121" spans="1:23">
      <c r="C121" s="366"/>
      <c r="D121" s="366"/>
    </row>
    <row r="122" spans="1:23" ht="36" customHeight="1">
      <c r="A122" s="324"/>
      <c r="B122" s="946" t="s">
        <v>143</v>
      </c>
      <c r="C122" s="947"/>
      <c r="D122" s="946" t="s">
        <v>144</v>
      </c>
      <c r="E122" s="947"/>
      <c r="F122" s="946" t="s">
        <v>145</v>
      </c>
      <c r="G122" s="947"/>
      <c r="H122" s="946" t="s">
        <v>146</v>
      </c>
      <c r="I122" s="948"/>
      <c r="J122" s="948"/>
      <c r="K122" s="948"/>
      <c r="L122" s="948"/>
      <c r="M122" s="947"/>
      <c r="N122" s="946" t="s">
        <v>147</v>
      </c>
      <c r="O122" s="948"/>
      <c r="P122" s="948"/>
      <c r="Q122" s="948"/>
      <c r="R122" s="948"/>
      <c r="S122" s="947"/>
      <c r="T122" s="946" t="s">
        <v>148</v>
      </c>
      <c r="U122" s="947"/>
      <c r="V122" s="946" t="s">
        <v>149</v>
      </c>
      <c r="W122" s="947"/>
    </row>
    <row r="123" spans="1:23" ht="21">
      <c r="B123" s="949" t="s">
        <v>393</v>
      </c>
      <c r="C123" s="950"/>
      <c r="D123" s="950"/>
      <c r="E123" s="950"/>
      <c r="F123" s="950"/>
      <c r="G123" s="950"/>
      <c r="H123" s="950"/>
      <c r="I123" s="950"/>
      <c r="J123" s="950"/>
      <c r="K123" s="950"/>
      <c r="L123" s="950"/>
      <c r="M123" s="950"/>
      <c r="N123" s="950"/>
      <c r="O123" s="950"/>
      <c r="P123" s="950"/>
      <c r="Q123" s="950"/>
      <c r="R123" s="950"/>
      <c r="S123" s="950"/>
      <c r="T123" s="950"/>
      <c r="U123" s="950"/>
      <c r="V123" s="950"/>
      <c r="W123" s="951"/>
    </row>
    <row r="124" spans="1:23">
      <c r="B124" s="952" t="s">
        <v>394</v>
      </c>
      <c r="C124" s="952"/>
      <c r="D124" s="953" t="s">
        <v>358</v>
      </c>
      <c r="E124" s="953"/>
      <c r="F124" s="952" t="s">
        <v>395</v>
      </c>
      <c r="G124" s="952"/>
      <c r="H124" s="952" t="s">
        <v>396</v>
      </c>
      <c r="I124" s="952"/>
      <c r="J124" s="952"/>
      <c r="K124" s="952"/>
      <c r="L124" s="952"/>
      <c r="M124" s="952"/>
      <c r="N124" s="952" t="s">
        <v>397</v>
      </c>
      <c r="O124" s="952"/>
      <c r="P124" s="952"/>
      <c r="Q124" s="952"/>
      <c r="R124" s="952"/>
      <c r="S124" s="952"/>
      <c r="T124" s="954"/>
      <c r="U124" s="954"/>
      <c r="V124" s="954" t="s">
        <v>398</v>
      </c>
      <c r="W124" s="954"/>
    </row>
    <row r="125" spans="1:23">
      <c r="B125" s="952" t="s">
        <v>331</v>
      </c>
      <c r="C125" s="952"/>
      <c r="D125" s="953" t="s">
        <v>355</v>
      </c>
      <c r="E125" s="953"/>
      <c r="F125" s="952" t="s">
        <v>395</v>
      </c>
      <c r="G125" s="952"/>
      <c r="H125" s="952" t="s">
        <v>396</v>
      </c>
      <c r="I125" s="952"/>
      <c r="J125" s="952"/>
      <c r="K125" s="952"/>
      <c r="L125" s="952"/>
      <c r="M125" s="952"/>
      <c r="N125" s="952" t="s">
        <v>397</v>
      </c>
      <c r="O125" s="952"/>
      <c r="P125" s="952"/>
      <c r="Q125" s="952"/>
      <c r="R125" s="952"/>
      <c r="S125" s="952"/>
      <c r="T125" s="954"/>
      <c r="U125" s="954"/>
      <c r="V125" s="954" t="s">
        <v>398</v>
      </c>
      <c r="W125" s="954"/>
    </row>
    <row r="126" spans="1:23">
      <c r="B126" s="955"/>
      <c r="C126" s="956"/>
      <c r="D126" s="957"/>
      <c r="E126" s="958"/>
      <c r="F126" s="955"/>
      <c r="G126" s="956"/>
      <c r="H126" s="955"/>
      <c r="I126" s="959"/>
      <c r="J126" s="959"/>
      <c r="K126" s="959"/>
      <c r="L126" s="959"/>
      <c r="M126" s="956"/>
      <c r="N126" s="955"/>
      <c r="O126" s="959"/>
      <c r="P126" s="959"/>
      <c r="Q126" s="959"/>
      <c r="R126" s="959"/>
      <c r="S126" s="956"/>
      <c r="T126" s="960"/>
      <c r="U126" s="961"/>
      <c r="V126" s="960"/>
      <c r="W126" s="961"/>
    </row>
    <row r="127" spans="1:23">
      <c r="B127" s="955"/>
      <c r="C127" s="956"/>
      <c r="D127" s="957"/>
      <c r="E127" s="958"/>
      <c r="F127" s="955"/>
      <c r="G127" s="956"/>
      <c r="H127" s="955"/>
      <c r="I127" s="959"/>
      <c r="J127" s="959"/>
      <c r="K127" s="959"/>
      <c r="L127" s="959"/>
      <c r="M127" s="956"/>
      <c r="N127" s="955"/>
      <c r="O127" s="959"/>
      <c r="P127" s="959"/>
      <c r="Q127" s="959"/>
      <c r="R127" s="959"/>
      <c r="S127" s="956"/>
      <c r="T127" s="954"/>
      <c r="U127" s="954"/>
      <c r="V127" s="954"/>
      <c r="W127" s="954"/>
    </row>
    <row r="128" spans="1:23">
      <c r="B128" s="955"/>
      <c r="C128" s="956"/>
      <c r="D128" s="953"/>
      <c r="E128" s="953"/>
      <c r="F128" s="952"/>
      <c r="G128" s="952"/>
      <c r="H128" s="952"/>
      <c r="I128" s="952"/>
      <c r="J128" s="952"/>
      <c r="K128" s="952"/>
      <c r="L128" s="952"/>
      <c r="M128" s="952"/>
      <c r="N128" s="955"/>
      <c r="O128" s="959"/>
      <c r="P128" s="959"/>
      <c r="Q128" s="959"/>
      <c r="R128" s="959"/>
      <c r="S128" s="956"/>
      <c r="T128" s="954"/>
      <c r="U128" s="954"/>
      <c r="V128" s="954"/>
      <c r="W128" s="954"/>
    </row>
    <row r="129" spans="2:23">
      <c r="B129" s="955"/>
      <c r="C129" s="956"/>
      <c r="D129" s="957"/>
      <c r="E129" s="958"/>
      <c r="F129" s="952"/>
      <c r="G129" s="952"/>
      <c r="H129" s="955"/>
      <c r="I129" s="959"/>
      <c r="J129" s="959"/>
      <c r="K129" s="959"/>
      <c r="L129" s="959"/>
      <c r="M129" s="956"/>
      <c r="N129" s="952"/>
      <c r="O129" s="952"/>
      <c r="P129" s="952"/>
      <c r="Q129" s="952"/>
      <c r="R129" s="952"/>
      <c r="S129" s="952"/>
      <c r="T129" s="954"/>
      <c r="U129" s="954"/>
      <c r="V129" s="954"/>
      <c r="W129" s="954"/>
    </row>
    <row r="130" spans="2:23">
      <c r="B130" s="952"/>
      <c r="C130" s="952"/>
      <c r="D130" s="953"/>
      <c r="E130" s="953"/>
      <c r="F130" s="952"/>
      <c r="G130" s="952"/>
      <c r="H130" s="952"/>
      <c r="I130" s="952"/>
      <c r="J130" s="952"/>
      <c r="K130" s="952"/>
      <c r="L130" s="952"/>
      <c r="M130" s="952"/>
      <c r="N130" s="952"/>
      <c r="O130" s="952"/>
      <c r="P130" s="952"/>
      <c r="Q130" s="952"/>
      <c r="R130" s="952"/>
      <c r="S130" s="952"/>
      <c r="T130" s="954"/>
      <c r="U130" s="954"/>
      <c r="V130" s="954"/>
      <c r="W130" s="954"/>
    </row>
    <row r="131" spans="2:23">
      <c r="B131" s="952"/>
      <c r="C131" s="952"/>
      <c r="D131" s="953"/>
      <c r="E131" s="953"/>
      <c r="F131" s="952"/>
      <c r="G131" s="952"/>
      <c r="H131" s="952"/>
      <c r="I131" s="952"/>
      <c r="J131" s="952"/>
      <c r="K131" s="952"/>
      <c r="L131" s="952"/>
      <c r="M131" s="952"/>
      <c r="N131" s="952"/>
      <c r="O131" s="952"/>
      <c r="P131" s="952"/>
      <c r="Q131" s="952"/>
      <c r="R131" s="952"/>
      <c r="S131" s="952"/>
      <c r="T131" s="954"/>
      <c r="U131" s="954"/>
      <c r="V131" s="954"/>
      <c r="W131" s="954"/>
    </row>
    <row r="132" spans="2:23">
      <c r="B132" s="952"/>
      <c r="C132" s="952"/>
      <c r="D132" s="953"/>
      <c r="E132" s="953"/>
      <c r="F132" s="952"/>
      <c r="G132" s="952"/>
      <c r="H132" s="952"/>
      <c r="I132" s="952"/>
      <c r="J132" s="952"/>
      <c r="K132" s="952"/>
      <c r="L132" s="952"/>
      <c r="M132" s="952"/>
      <c r="N132" s="952"/>
      <c r="O132" s="952"/>
      <c r="P132" s="952"/>
      <c r="Q132" s="952"/>
      <c r="R132" s="952"/>
      <c r="S132" s="952"/>
      <c r="T132" s="954"/>
      <c r="U132" s="954"/>
      <c r="V132" s="954"/>
      <c r="W132" s="954"/>
    </row>
    <row r="133" spans="2:23">
      <c r="B133" s="952"/>
      <c r="C133" s="952"/>
      <c r="D133" s="953"/>
      <c r="E133" s="953"/>
      <c r="F133" s="952"/>
      <c r="G133" s="952"/>
      <c r="H133" s="952"/>
      <c r="I133" s="952"/>
      <c r="J133" s="952"/>
      <c r="K133" s="952"/>
      <c r="L133" s="952"/>
      <c r="M133" s="952"/>
      <c r="N133" s="952"/>
      <c r="O133" s="952"/>
      <c r="P133" s="952"/>
      <c r="Q133" s="952"/>
      <c r="R133" s="952"/>
      <c r="S133" s="952"/>
      <c r="T133" s="954"/>
      <c r="U133" s="954"/>
      <c r="V133" s="954"/>
      <c r="W133" s="954"/>
    </row>
    <row r="134" spans="2:23">
      <c r="B134" s="952"/>
      <c r="C134" s="952"/>
      <c r="D134" s="953"/>
      <c r="E134" s="953"/>
      <c r="F134" s="952"/>
      <c r="G134" s="952"/>
      <c r="H134" s="952"/>
      <c r="I134" s="952"/>
      <c r="J134" s="952"/>
      <c r="K134" s="952"/>
      <c r="L134" s="952"/>
      <c r="M134" s="952"/>
      <c r="N134" s="952"/>
      <c r="O134" s="952"/>
      <c r="P134" s="952"/>
      <c r="Q134" s="952"/>
      <c r="R134" s="952"/>
      <c r="S134" s="952"/>
      <c r="T134" s="954"/>
      <c r="U134" s="954"/>
      <c r="V134" s="954"/>
      <c r="W134" s="954"/>
    </row>
    <row r="135" spans="2:23">
      <c r="B135" s="952"/>
      <c r="C135" s="952"/>
      <c r="D135" s="953"/>
      <c r="E135" s="953"/>
      <c r="F135" s="952"/>
      <c r="G135" s="952"/>
      <c r="H135" s="952"/>
      <c r="I135" s="952"/>
      <c r="J135" s="952"/>
      <c r="K135" s="952"/>
      <c r="L135" s="952"/>
      <c r="M135" s="952"/>
      <c r="N135" s="952"/>
      <c r="O135" s="952"/>
      <c r="P135" s="952"/>
      <c r="Q135" s="952"/>
      <c r="R135" s="952"/>
      <c r="S135" s="952"/>
      <c r="T135" s="954"/>
      <c r="U135" s="954"/>
      <c r="V135" s="954"/>
      <c r="W135" s="954"/>
    </row>
    <row r="136" spans="2:23">
      <c r="B136" s="952"/>
      <c r="C136" s="952"/>
      <c r="D136" s="953"/>
      <c r="E136" s="953"/>
      <c r="F136" s="952"/>
      <c r="G136" s="952"/>
      <c r="H136" s="952"/>
      <c r="I136" s="952"/>
      <c r="J136" s="952"/>
      <c r="K136" s="952"/>
      <c r="L136" s="952"/>
      <c r="M136" s="952"/>
      <c r="N136" s="952"/>
      <c r="O136" s="952"/>
      <c r="P136" s="952"/>
      <c r="Q136" s="952"/>
      <c r="R136" s="952"/>
      <c r="S136" s="952"/>
      <c r="T136" s="954"/>
      <c r="U136" s="954"/>
      <c r="V136" s="954"/>
      <c r="W136" s="954"/>
    </row>
    <row r="137" spans="2:23">
      <c r="B137" s="952"/>
      <c r="C137" s="952"/>
      <c r="D137" s="953"/>
      <c r="E137" s="953"/>
      <c r="F137" s="952"/>
      <c r="G137" s="952"/>
      <c r="H137" s="952"/>
      <c r="I137" s="952"/>
      <c r="J137" s="952"/>
      <c r="K137" s="952"/>
      <c r="L137" s="952"/>
      <c r="M137" s="952"/>
      <c r="N137" s="952"/>
      <c r="O137" s="952"/>
      <c r="P137" s="952"/>
      <c r="Q137" s="952"/>
      <c r="R137" s="952"/>
      <c r="S137" s="952"/>
      <c r="T137" s="954"/>
      <c r="U137" s="954"/>
      <c r="V137" s="954"/>
      <c r="W137" s="954"/>
    </row>
    <row r="138" spans="2:23">
      <c r="B138" s="952"/>
      <c r="C138" s="952"/>
      <c r="D138" s="953"/>
      <c r="E138" s="953"/>
      <c r="F138" s="952"/>
      <c r="G138" s="952"/>
      <c r="H138" s="952"/>
      <c r="I138" s="952"/>
      <c r="J138" s="952"/>
      <c r="K138" s="952"/>
      <c r="L138" s="952"/>
      <c r="M138" s="952"/>
      <c r="N138" s="952"/>
      <c r="O138" s="952"/>
      <c r="P138" s="952"/>
      <c r="Q138" s="952"/>
      <c r="R138" s="952"/>
      <c r="S138" s="952"/>
      <c r="T138" s="954"/>
      <c r="U138" s="954"/>
      <c r="V138" s="954"/>
      <c r="W138" s="954"/>
    </row>
    <row r="139" spans="2:23" ht="36" customHeight="1">
      <c r="B139" s="946" t="s">
        <v>143</v>
      </c>
      <c r="C139" s="947"/>
      <c r="D139" s="946" t="s">
        <v>144</v>
      </c>
      <c r="E139" s="947"/>
      <c r="F139" s="946" t="s">
        <v>145</v>
      </c>
      <c r="G139" s="947"/>
      <c r="H139" s="946" t="s">
        <v>146</v>
      </c>
      <c r="I139" s="948"/>
      <c r="J139" s="948"/>
      <c r="K139" s="948"/>
      <c r="L139" s="948"/>
      <c r="M139" s="947"/>
      <c r="N139" s="946" t="s">
        <v>147</v>
      </c>
      <c r="O139" s="948"/>
      <c r="P139" s="948"/>
      <c r="Q139" s="948"/>
      <c r="R139" s="948"/>
      <c r="S139" s="947"/>
      <c r="T139" s="946" t="s">
        <v>148</v>
      </c>
      <c r="U139" s="947"/>
      <c r="V139" s="946" t="s">
        <v>149</v>
      </c>
      <c r="W139" s="947"/>
    </row>
    <row r="140" spans="2:23" ht="21">
      <c r="B140" s="962" t="s">
        <v>137</v>
      </c>
      <c r="C140" s="963"/>
      <c r="D140" s="963"/>
      <c r="E140" s="963"/>
      <c r="F140" s="963"/>
      <c r="G140" s="963"/>
      <c r="H140" s="963"/>
      <c r="I140" s="963"/>
      <c r="J140" s="963"/>
      <c r="K140" s="963"/>
      <c r="L140" s="963"/>
      <c r="M140" s="963"/>
      <c r="N140" s="963"/>
      <c r="O140" s="963"/>
      <c r="P140" s="963"/>
      <c r="Q140" s="963"/>
      <c r="R140" s="963"/>
      <c r="S140" s="963"/>
      <c r="T140" s="963"/>
      <c r="U140" s="963"/>
      <c r="V140" s="963"/>
      <c r="W140" s="964"/>
    </row>
    <row r="141" spans="2:23">
      <c r="B141" s="965" t="s">
        <v>356</v>
      </c>
      <c r="C141" s="966"/>
      <c r="D141" s="953" t="s">
        <v>351</v>
      </c>
      <c r="E141" s="953"/>
      <c r="F141" s="967" t="s">
        <v>399</v>
      </c>
      <c r="G141" s="968"/>
      <c r="H141" s="967" t="s">
        <v>400</v>
      </c>
      <c r="I141" s="969"/>
      <c r="J141" s="969"/>
      <c r="K141" s="969"/>
      <c r="L141" s="969"/>
      <c r="M141" s="968"/>
      <c r="N141" s="967"/>
      <c r="O141" s="969"/>
      <c r="P141" s="969"/>
      <c r="Q141" s="969"/>
      <c r="R141" s="969"/>
      <c r="S141" s="968"/>
      <c r="T141" s="960"/>
      <c r="U141" s="961"/>
      <c r="V141" s="970"/>
      <c r="W141" s="971"/>
    </row>
    <row r="142" spans="2:23">
      <c r="B142" s="957"/>
      <c r="C142" s="958"/>
      <c r="D142" s="953"/>
      <c r="E142" s="953"/>
      <c r="F142" s="955"/>
      <c r="G142" s="956"/>
      <c r="H142" s="955" t="s">
        <v>401</v>
      </c>
      <c r="I142" s="959"/>
      <c r="J142" s="959"/>
      <c r="K142" s="959"/>
      <c r="L142" s="959"/>
      <c r="M142" s="956"/>
      <c r="N142" s="955"/>
      <c r="O142" s="959"/>
      <c r="P142" s="959"/>
      <c r="Q142" s="959"/>
      <c r="R142" s="959"/>
      <c r="S142" s="956"/>
      <c r="T142" s="960"/>
      <c r="U142" s="961"/>
      <c r="V142" s="960"/>
      <c r="W142" s="961"/>
    </row>
    <row r="143" spans="2:23">
      <c r="B143" s="957"/>
      <c r="C143" s="958"/>
      <c r="D143" s="957"/>
      <c r="E143" s="958"/>
      <c r="F143" s="955"/>
      <c r="G143" s="956"/>
      <c r="H143" s="952"/>
      <c r="I143" s="952"/>
      <c r="J143" s="952"/>
      <c r="K143" s="952"/>
      <c r="L143" s="952"/>
      <c r="M143" s="952"/>
      <c r="N143" s="952"/>
      <c r="O143" s="952"/>
      <c r="P143" s="952"/>
      <c r="Q143" s="952"/>
      <c r="R143" s="952"/>
      <c r="S143" s="952"/>
      <c r="T143" s="960"/>
      <c r="U143" s="961"/>
      <c r="V143" s="954"/>
      <c r="W143" s="954"/>
    </row>
    <row r="144" spans="2:23">
      <c r="B144" s="957" t="s">
        <v>357</v>
      </c>
      <c r="C144" s="958"/>
      <c r="D144" s="957" t="s">
        <v>351</v>
      </c>
      <c r="E144" s="958"/>
      <c r="F144" s="955" t="s">
        <v>399</v>
      </c>
      <c r="G144" s="956"/>
      <c r="H144" s="952" t="s">
        <v>402</v>
      </c>
      <c r="I144" s="952"/>
      <c r="J144" s="952"/>
      <c r="K144" s="952"/>
      <c r="L144" s="952"/>
      <c r="M144" s="952"/>
      <c r="N144" s="952"/>
      <c r="O144" s="952"/>
      <c r="P144" s="952"/>
      <c r="Q144" s="952"/>
      <c r="R144" s="952"/>
      <c r="S144" s="952"/>
      <c r="T144" s="960"/>
      <c r="U144" s="961"/>
      <c r="V144" s="954"/>
      <c r="W144" s="954"/>
    </row>
    <row r="145" spans="2:23">
      <c r="B145" s="957"/>
      <c r="C145" s="958"/>
      <c r="D145" s="953"/>
      <c r="E145" s="953"/>
      <c r="F145" s="955"/>
      <c r="G145" s="956"/>
      <c r="H145" s="952"/>
      <c r="I145" s="952"/>
      <c r="J145" s="952"/>
      <c r="K145" s="952"/>
      <c r="L145" s="952"/>
      <c r="M145" s="952"/>
      <c r="N145" s="952"/>
      <c r="O145" s="952"/>
      <c r="P145" s="952"/>
      <c r="Q145" s="952"/>
      <c r="R145" s="952"/>
      <c r="S145" s="952"/>
      <c r="T145" s="960"/>
      <c r="U145" s="961"/>
      <c r="V145" s="960"/>
      <c r="W145" s="961"/>
    </row>
    <row r="146" spans="2:23">
      <c r="B146" s="955" t="s">
        <v>359</v>
      </c>
      <c r="C146" s="956"/>
      <c r="D146" s="957" t="s">
        <v>355</v>
      </c>
      <c r="E146" s="958"/>
      <c r="F146" s="955" t="s">
        <v>399</v>
      </c>
      <c r="G146" s="956"/>
      <c r="H146" s="955" t="s">
        <v>403</v>
      </c>
      <c r="I146" s="959"/>
      <c r="J146" s="959"/>
      <c r="K146" s="959"/>
      <c r="L146" s="959"/>
      <c r="M146" s="956"/>
      <c r="N146" s="955"/>
      <c r="O146" s="959"/>
      <c r="P146" s="959"/>
      <c r="Q146" s="959"/>
      <c r="R146" s="959"/>
      <c r="S146" s="956"/>
      <c r="T146" s="960"/>
      <c r="U146" s="961"/>
      <c r="V146" s="960"/>
      <c r="W146" s="961"/>
    </row>
    <row r="147" spans="2:23">
      <c r="B147" s="955"/>
      <c r="C147" s="956"/>
      <c r="D147" s="957"/>
      <c r="E147" s="958"/>
      <c r="F147" s="955"/>
      <c r="G147" s="956"/>
      <c r="H147" s="952" t="s">
        <v>404</v>
      </c>
      <c r="I147" s="952"/>
      <c r="J147" s="952"/>
      <c r="K147" s="952"/>
      <c r="L147" s="952"/>
      <c r="M147" s="952"/>
      <c r="N147" s="955"/>
      <c r="O147" s="959"/>
      <c r="P147" s="959"/>
      <c r="Q147" s="959"/>
      <c r="R147" s="959"/>
      <c r="S147" s="956"/>
      <c r="T147" s="954"/>
      <c r="U147" s="954"/>
      <c r="V147" s="960"/>
      <c r="W147" s="961"/>
    </row>
    <row r="148" spans="2:23">
      <c r="B148" s="955"/>
      <c r="C148" s="956"/>
      <c r="D148" s="957"/>
      <c r="E148" s="958"/>
      <c r="F148" s="955"/>
      <c r="G148" s="956"/>
      <c r="H148" s="952"/>
      <c r="I148" s="952"/>
      <c r="J148" s="952"/>
      <c r="K148" s="952"/>
      <c r="L148" s="952"/>
      <c r="M148" s="952"/>
      <c r="N148" s="955"/>
      <c r="O148" s="959"/>
      <c r="P148" s="959"/>
      <c r="Q148" s="959"/>
      <c r="R148" s="959"/>
      <c r="S148" s="956"/>
      <c r="T148" s="954"/>
      <c r="U148" s="954"/>
      <c r="V148" s="960"/>
      <c r="W148" s="961"/>
    </row>
    <row r="149" spans="2:23">
      <c r="B149" s="952"/>
      <c r="C149" s="952"/>
      <c r="D149" s="953"/>
      <c r="E149" s="953"/>
      <c r="F149" s="952"/>
      <c r="G149" s="952"/>
      <c r="H149" s="952"/>
      <c r="I149" s="952"/>
      <c r="J149" s="952"/>
      <c r="K149" s="952"/>
      <c r="L149" s="952"/>
      <c r="M149" s="952"/>
      <c r="N149" s="955"/>
      <c r="O149" s="959"/>
      <c r="P149" s="959"/>
      <c r="Q149" s="959"/>
      <c r="R149" s="959"/>
      <c r="S149" s="956"/>
      <c r="T149" s="954"/>
      <c r="U149" s="954"/>
      <c r="V149" s="960"/>
      <c r="W149" s="961"/>
    </row>
    <row r="150" spans="2:23">
      <c r="B150" s="955"/>
      <c r="C150" s="956"/>
      <c r="D150" s="957"/>
      <c r="E150" s="958"/>
      <c r="F150" s="955"/>
      <c r="G150" s="956"/>
      <c r="H150" s="955"/>
      <c r="I150" s="959"/>
      <c r="J150" s="959"/>
      <c r="K150" s="959"/>
      <c r="L150" s="959"/>
      <c r="M150" s="956"/>
      <c r="N150" s="955"/>
      <c r="O150" s="959"/>
      <c r="P150" s="959"/>
      <c r="Q150" s="959"/>
      <c r="R150" s="959"/>
      <c r="S150" s="956"/>
      <c r="T150" s="960"/>
      <c r="U150" s="961"/>
      <c r="V150" s="960"/>
      <c r="W150" s="961"/>
    </row>
    <row r="151" spans="2:23">
      <c r="B151" s="955"/>
      <c r="C151" s="956"/>
      <c r="D151" s="957"/>
      <c r="E151" s="958"/>
      <c r="F151" s="955"/>
      <c r="G151" s="956"/>
      <c r="H151" s="955"/>
      <c r="I151" s="959"/>
      <c r="J151" s="959"/>
      <c r="K151" s="959"/>
      <c r="L151" s="959"/>
      <c r="M151" s="956"/>
      <c r="N151" s="952"/>
      <c r="O151" s="952"/>
      <c r="P151" s="952"/>
      <c r="Q151" s="952"/>
      <c r="R151" s="952"/>
      <c r="S151" s="952"/>
      <c r="T151" s="954"/>
      <c r="U151" s="954"/>
      <c r="V151" s="954"/>
      <c r="W151" s="954"/>
    </row>
    <row r="152" spans="2:23">
      <c r="B152" s="952"/>
      <c r="C152" s="952"/>
      <c r="D152" s="953"/>
      <c r="E152" s="953"/>
      <c r="F152" s="952"/>
      <c r="G152" s="952"/>
      <c r="H152" s="952"/>
      <c r="I152" s="952"/>
      <c r="J152" s="952"/>
      <c r="K152" s="952"/>
      <c r="L152" s="952"/>
      <c r="M152" s="952"/>
      <c r="N152" s="952"/>
      <c r="O152" s="952"/>
      <c r="P152" s="952"/>
      <c r="Q152" s="952"/>
      <c r="R152" s="952"/>
      <c r="S152" s="952"/>
      <c r="T152" s="954"/>
      <c r="U152" s="954"/>
      <c r="V152" s="954"/>
      <c r="W152" s="954"/>
    </row>
    <row r="153" spans="2:23">
      <c r="B153" s="972"/>
      <c r="C153" s="973"/>
      <c r="D153" s="953"/>
      <c r="E153" s="953"/>
      <c r="F153" s="952"/>
      <c r="G153" s="952"/>
      <c r="H153" s="952"/>
      <c r="I153" s="952"/>
      <c r="J153" s="952"/>
      <c r="K153" s="952"/>
      <c r="L153" s="952"/>
      <c r="M153" s="952"/>
      <c r="N153" s="952"/>
      <c r="O153" s="952"/>
      <c r="P153" s="952"/>
      <c r="Q153" s="952"/>
      <c r="R153" s="952"/>
      <c r="S153" s="952"/>
      <c r="T153" s="954"/>
      <c r="U153" s="954"/>
      <c r="V153" s="954"/>
      <c r="W153" s="954"/>
    </row>
    <row r="154" spans="2:23" ht="36" customHeight="1">
      <c r="B154" s="946" t="s">
        <v>143</v>
      </c>
      <c r="C154" s="947"/>
      <c r="D154" s="946" t="s">
        <v>144</v>
      </c>
      <c r="E154" s="947"/>
      <c r="F154" s="946" t="s">
        <v>145</v>
      </c>
      <c r="G154" s="947"/>
      <c r="H154" s="946" t="s">
        <v>146</v>
      </c>
      <c r="I154" s="948"/>
      <c r="J154" s="948"/>
      <c r="K154" s="948"/>
      <c r="L154" s="948"/>
      <c r="M154" s="947"/>
      <c r="N154" s="946" t="s">
        <v>147</v>
      </c>
      <c r="O154" s="948"/>
      <c r="P154" s="948"/>
      <c r="Q154" s="948"/>
      <c r="R154" s="948"/>
      <c r="S154" s="947"/>
      <c r="T154" s="946" t="s">
        <v>148</v>
      </c>
      <c r="U154" s="947"/>
      <c r="V154" s="946" t="s">
        <v>149</v>
      </c>
      <c r="W154" s="947"/>
    </row>
    <row r="155" spans="2:23" ht="21">
      <c r="B155" s="949" t="s">
        <v>138</v>
      </c>
      <c r="C155" s="950"/>
      <c r="D155" s="950"/>
      <c r="E155" s="950"/>
      <c r="F155" s="950"/>
      <c r="G155" s="950"/>
      <c r="H155" s="950"/>
      <c r="I155" s="950"/>
      <c r="J155" s="950"/>
      <c r="K155" s="950"/>
      <c r="L155" s="950"/>
      <c r="M155" s="950"/>
      <c r="N155" s="950"/>
      <c r="O155" s="950"/>
      <c r="P155" s="950"/>
      <c r="Q155" s="950"/>
      <c r="R155" s="950"/>
      <c r="S155" s="950"/>
      <c r="T155" s="950"/>
      <c r="U155" s="950"/>
      <c r="V155" s="950"/>
      <c r="W155" s="951"/>
    </row>
    <row r="156" spans="2:23">
      <c r="B156" s="965" t="s">
        <v>405</v>
      </c>
      <c r="C156" s="966"/>
      <c r="D156" s="965" t="s">
        <v>355</v>
      </c>
      <c r="E156" s="966"/>
      <c r="F156" s="967" t="s">
        <v>399</v>
      </c>
      <c r="G156" s="968"/>
      <c r="H156" s="967" t="s">
        <v>406</v>
      </c>
      <c r="I156" s="969"/>
      <c r="J156" s="969"/>
      <c r="K156" s="969"/>
      <c r="L156" s="969"/>
      <c r="M156" s="968"/>
      <c r="N156" s="967"/>
      <c r="O156" s="969"/>
      <c r="P156" s="969"/>
      <c r="Q156" s="969"/>
      <c r="R156" s="969"/>
      <c r="S156" s="968"/>
      <c r="T156" s="954"/>
      <c r="U156" s="954"/>
      <c r="V156" s="954"/>
      <c r="W156" s="954"/>
    </row>
    <row r="157" spans="2:23">
      <c r="B157" s="957"/>
      <c r="C157" s="958"/>
      <c r="D157" s="974"/>
      <c r="E157" s="975"/>
      <c r="F157" s="955"/>
      <c r="G157" s="956"/>
      <c r="H157" s="955"/>
      <c r="I157" s="959"/>
      <c r="J157" s="959"/>
      <c r="K157" s="959"/>
      <c r="L157" s="959"/>
      <c r="M157" s="956"/>
      <c r="N157" s="955"/>
      <c r="O157" s="959"/>
      <c r="P157" s="959"/>
      <c r="Q157" s="959"/>
      <c r="R157" s="959"/>
      <c r="S157" s="956"/>
      <c r="T157" s="954"/>
      <c r="U157" s="954"/>
      <c r="V157" s="954"/>
      <c r="W157" s="954"/>
    </row>
    <row r="158" spans="2:23">
      <c r="B158" s="955"/>
      <c r="C158" s="956"/>
      <c r="D158" s="974"/>
      <c r="E158" s="956"/>
      <c r="F158" s="955"/>
      <c r="G158" s="956"/>
      <c r="H158" s="952"/>
      <c r="I158" s="952"/>
      <c r="J158" s="952"/>
      <c r="K158" s="952"/>
      <c r="L158" s="952"/>
      <c r="M158" s="952"/>
      <c r="N158" s="955"/>
      <c r="O158" s="959"/>
      <c r="P158" s="959"/>
      <c r="Q158" s="959"/>
      <c r="R158" s="959"/>
      <c r="S158" s="956"/>
      <c r="T158" s="954"/>
      <c r="U158" s="954"/>
      <c r="V158" s="954"/>
      <c r="W158" s="954"/>
    </row>
    <row r="159" spans="2:23">
      <c r="B159" s="955"/>
      <c r="C159" s="956"/>
      <c r="D159" s="955"/>
      <c r="E159" s="956"/>
      <c r="F159" s="955"/>
      <c r="G159" s="956"/>
      <c r="H159" s="952"/>
      <c r="I159" s="952"/>
      <c r="J159" s="952"/>
      <c r="K159" s="952"/>
      <c r="L159" s="952"/>
      <c r="M159" s="952"/>
      <c r="N159" s="952"/>
      <c r="O159" s="952"/>
      <c r="P159" s="952"/>
      <c r="Q159" s="952"/>
      <c r="R159" s="952"/>
      <c r="S159" s="952"/>
      <c r="T159" s="954"/>
      <c r="U159" s="954"/>
      <c r="V159" s="954"/>
      <c r="W159" s="954"/>
    </row>
    <row r="160" spans="2:23">
      <c r="B160" s="955"/>
      <c r="C160" s="956"/>
      <c r="D160" s="957"/>
      <c r="E160" s="958"/>
      <c r="F160" s="955"/>
      <c r="G160" s="956"/>
      <c r="H160" s="955"/>
      <c r="I160" s="959"/>
      <c r="J160" s="959"/>
      <c r="K160" s="959"/>
      <c r="L160" s="959"/>
      <c r="M160" s="956"/>
      <c r="N160" s="952"/>
      <c r="O160" s="952"/>
      <c r="P160" s="952"/>
      <c r="Q160" s="952"/>
      <c r="R160" s="952"/>
      <c r="S160" s="952"/>
      <c r="T160" s="954"/>
      <c r="U160" s="954"/>
      <c r="V160" s="954"/>
      <c r="W160" s="954"/>
    </row>
    <row r="161" spans="2:23">
      <c r="B161" s="952"/>
      <c r="C161" s="952"/>
      <c r="D161" s="953"/>
      <c r="E161" s="953"/>
      <c r="F161" s="952"/>
      <c r="G161" s="952"/>
      <c r="H161" s="952"/>
      <c r="I161" s="952"/>
      <c r="J161" s="952"/>
      <c r="K161" s="952"/>
      <c r="L161" s="952"/>
      <c r="M161" s="952"/>
      <c r="N161" s="952"/>
      <c r="O161" s="952"/>
      <c r="P161" s="952"/>
      <c r="Q161" s="952"/>
      <c r="R161" s="952"/>
      <c r="S161" s="952"/>
      <c r="T161" s="954"/>
      <c r="U161" s="954"/>
      <c r="V161" s="954"/>
      <c r="W161" s="954"/>
    </row>
    <row r="162" spans="2:23">
      <c r="B162" s="952"/>
      <c r="C162" s="952"/>
      <c r="D162" s="953"/>
      <c r="E162" s="953"/>
      <c r="F162" s="952"/>
      <c r="G162" s="952"/>
      <c r="H162" s="952"/>
      <c r="I162" s="952"/>
      <c r="J162" s="952"/>
      <c r="K162" s="952"/>
      <c r="L162" s="952"/>
      <c r="M162" s="952"/>
      <c r="N162" s="952"/>
      <c r="O162" s="952"/>
      <c r="P162" s="952"/>
      <c r="Q162" s="952"/>
      <c r="R162" s="952"/>
      <c r="S162" s="952"/>
      <c r="T162" s="954"/>
      <c r="U162" s="954"/>
      <c r="V162" s="954"/>
      <c r="W162" s="954"/>
    </row>
    <row r="163" spans="2:23">
      <c r="B163" s="952"/>
      <c r="C163" s="952"/>
      <c r="D163" s="953"/>
      <c r="E163" s="953"/>
      <c r="F163" s="952"/>
      <c r="G163" s="952"/>
      <c r="H163" s="952"/>
      <c r="I163" s="952"/>
      <c r="J163" s="952"/>
      <c r="K163" s="952"/>
      <c r="L163" s="952"/>
      <c r="M163" s="952"/>
      <c r="N163" s="952"/>
      <c r="O163" s="952"/>
      <c r="P163" s="952"/>
      <c r="Q163" s="952"/>
      <c r="R163" s="952"/>
      <c r="S163" s="952"/>
      <c r="T163" s="954"/>
      <c r="U163" s="954"/>
      <c r="V163" s="954"/>
      <c r="W163" s="954"/>
    </row>
    <row r="164" spans="2:23">
      <c r="B164" s="952"/>
      <c r="C164" s="952"/>
      <c r="D164" s="953"/>
      <c r="E164" s="953"/>
      <c r="F164" s="952"/>
      <c r="G164" s="952"/>
      <c r="H164" s="952"/>
      <c r="I164" s="952"/>
      <c r="J164" s="952"/>
      <c r="K164" s="952"/>
      <c r="L164" s="952"/>
      <c r="M164" s="952"/>
      <c r="N164" s="952"/>
      <c r="O164" s="952"/>
      <c r="P164" s="952"/>
      <c r="Q164" s="952"/>
      <c r="R164" s="952"/>
      <c r="S164" s="952"/>
      <c r="T164" s="954"/>
      <c r="U164" s="954"/>
      <c r="V164" s="954"/>
      <c r="W164" s="954"/>
    </row>
    <row r="165" spans="2:23">
      <c r="B165" s="952"/>
      <c r="C165" s="952"/>
      <c r="D165" s="953"/>
      <c r="E165" s="953"/>
      <c r="F165" s="952"/>
      <c r="G165" s="952"/>
      <c r="H165" s="952"/>
      <c r="I165" s="952"/>
      <c r="J165" s="952"/>
      <c r="K165" s="952"/>
      <c r="L165" s="952"/>
      <c r="M165" s="952"/>
      <c r="N165" s="952"/>
      <c r="O165" s="952"/>
      <c r="P165" s="952"/>
      <c r="Q165" s="952"/>
      <c r="R165" s="952"/>
      <c r="S165" s="952"/>
      <c r="T165" s="954"/>
      <c r="U165" s="954"/>
      <c r="V165" s="954"/>
      <c r="W165" s="954"/>
    </row>
    <row r="166" spans="2:23">
      <c r="B166" s="952"/>
      <c r="C166" s="952"/>
      <c r="D166" s="953"/>
      <c r="E166" s="953"/>
      <c r="F166" s="952"/>
      <c r="G166" s="952"/>
      <c r="H166" s="952"/>
      <c r="I166" s="952"/>
      <c r="J166" s="952"/>
      <c r="K166" s="952"/>
      <c r="L166" s="952"/>
      <c r="M166" s="952"/>
      <c r="N166" s="952"/>
      <c r="O166" s="952"/>
      <c r="P166" s="952"/>
      <c r="Q166" s="952"/>
      <c r="R166" s="952"/>
      <c r="S166" s="952"/>
      <c r="T166" s="954"/>
      <c r="U166" s="954"/>
      <c r="V166" s="954"/>
      <c r="W166" s="954"/>
    </row>
    <row r="167" spans="2:23">
      <c r="B167" s="952"/>
      <c r="C167" s="952"/>
      <c r="D167" s="953"/>
      <c r="E167" s="953"/>
      <c r="F167" s="952"/>
      <c r="G167" s="952"/>
      <c r="H167" s="952"/>
      <c r="I167" s="952"/>
      <c r="J167" s="952"/>
      <c r="K167" s="952"/>
      <c r="L167" s="952"/>
      <c r="M167" s="952"/>
      <c r="N167" s="952"/>
      <c r="O167" s="952"/>
      <c r="P167" s="952"/>
      <c r="Q167" s="952"/>
      <c r="R167" s="952"/>
      <c r="S167" s="952"/>
      <c r="T167" s="954"/>
      <c r="U167" s="954"/>
      <c r="V167" s="954"/>
      <c r="W167" s="954"/>
    </row>
    <row r="168" spans="2:23">
      <c r="B168" s="952"/>
      <c r="C168" s="952"/>
      <c r="D168" s="953"/>
      <c r="E168" s="953"/>
      <c r="F168" s="952"/>
      <c r="G168" s="952"/>
      <c r="H168" s="952"/>
      <c r="I168" s="952"/>
      <c r="J168" s="952"/>
      <c r="K168" s="952"/>
      <c r="L168" s="952"/>
      <c r="M168" s="952"/>
      <c r="N168" s="952"/>
      <c r="O168" s="952"/>
      <c r="P168" s="952"/>
      <c r="Q168" s="952"/>
      <c r="R168" s="952"/>
      <c r="S168" s="952"/>
      <c r="T168" s="954"/>
      <c r="U168" s="954"/>
      <c r="V168" s="954"/>
      <c r="W168" s="954"/>
    </row>
    <row r="169" spans="2:23" ht="36" customHeight="1">
      <c r="B169" s="946" t="s">
        <v>143</v>
      </c>
      <c r="C169" s="947"/>
      <c r="D169" s="946" t="s">
        <v>144</v>
      </c>
      <c r="E169" s="947"/>
      <c r="F169" s="946" t="s">
        <v>145</v>
      </c>
      <c r="G169" s="947"/>
      <c r="H169" s="946" t="s">
        <v>146</v>
      </c>
      <c r="I169" s="948"/>
      <c r="J169" s="948"/>
      <c r="K169" s="948"/>
      <c r="L169" s="948"/>
      <c r="M169" s="947"/>
      <c r="N169" s="946" t="s">
        <v>147</v>
      </c>
      <c r="O169" s="948"/>
      <c r="P169" s="948"/>
      <c r="Q169" s="948"/>
      <c r="R169" s="948"/>
      <c r="S169" s="947"/>
      <c r="T169" s="946" t="s">
        <v>148</v>
      </c>
      <c r="U169" s="947"/>
      <c r="V169" s="946" t="s">
        <v>149</v>
      </c>
      <c r="W169" s="947"/>
    </row>
    <row r="170" spans="2:23" ht="21">
      <c r="B170" s="962" t="s">
        <v>139</v>
      </c>
      <c r="C170" s="963"/>
      <c r="D170" s="963"/>
      <c r="E170" s="963"/>
      <c r="F170" s="963"/>
      <c r="G170" s="963"/>
      <c r="H170" s="963"/>
      <c r="I170" s="963"/>
      <c r="J170" s="963"/>
      <c r="K170" s="963"/>
      <c r="L170" s="963"/>
      <c r="M170" s="963"/>
      <c r="N170" s="963"/>
      <c r="O170" s="963"/>
      <c r="P170" s="963"/>
      <c r="Q170" s="963"/>
      <c r="R170" s="963"/>
      <c r="S170" s="963"/>
      <c r="T170" s="963"/>
      <c r="U170" s="963"/>
      <c r="V170" s="963"/>
      <c r="W170" s="964"/>
    </row>
    <row r="171" spans="2:23">
      <c r="B171" s="952"/>
      <c r="C171" s="952"/>
      <c r="D171" s="953"/>
      <c r="E171" s="953"/>
      <c r="F171" s="952"/>
      <c r="G171" s="952"/>
      <c r="H171" s="952"/>
      <c r="I171" s="952"/>
      <c r="J171" s="952"/>
      <c r="K171" s="952"/>
      <c r="L171" s="952"/>
      <c r="M171" s="952"/>
      <c r="N171" s="952"/>
      <c r="O171" s="952"/>
      <c r="P171" s="952"/>
      <c r="Q171" s="952"/>
      <c r="R171" s="952"/>
      <c r="S171" s="952"/>
      <c r="T171" s="954"/>
      <c r="U171" s="954"/>
      <c r="V171" s="954"/>
      <c r="W171" s="954"/>
    </row>
    <row r="172" spans="2:23">
      <c r="B172" s="952" t="s">
        <v>407</v>
      </c>
      <c r="C172" s="952"/>
      <c r="D172" s="976" t="s">
        <v>355</v>
      </c>
      <c r="E172" s="952"/>
      <c r="F172" s="955" t="s">
        <v>408</v>
      </c>
      <c r="G172" s="956"/>
      <c r="H172" s="952" t="s">
        <v>409</v>
      </c>
      <c r="I172" s="952"/>
      <c r="J172" s="952"/>
      <c r="K172" s="952"/>
      <c r="L172" s="952"/>
      <c r="M172" s="952"/>
      <c r="N172" s="955" t="s">
        <v>410</v>
      </c>
      <c r="O172" s="959"/>
      <c r="P172" s="959"/>
      <c r="Q172" s="959"/>
      <c r="R172" s="959"/>
      <c r="S172" s="956"/>
      <c r="T172" s="954"/>
      <c r="U172" s="954"/>
      <c r="V172" s="954" t="s">
        <v>411</v>
      </c>
      <c r="W172" s="954"/>
    </row>
    <row r="173" spans="2:23">
      <c r="B173" s="952"/>
      <c r="C173" s="952"/>
      <c r="D173" s="953"/>
      <c r="E173" s="953"/>
      <c r="F173" s="952"/>
      <c r="G173" s="952"/>
      <c r="H173" s="955"/>
      <c r="I173" s="959"/>
      <c r="J173" s="959"/>
      <c r="K173" s="959"/>
      <c r="L173" s="959"/>
      <c r="M173" s="956"/>
      <c r="N173" s="955"/>
      <c r="O173" s="959"/>
      <c r="P173" s="959"/>
      <c r="Q173" s="959"/>
      <c r="R173" s="959"/>
      <c r="S173" s="956"/>
      <c r="T173" s="954"/>
      <c r="U173" s="954"/>
      <c r="V173" s="954"/>
      <c r="W173" s="954"/>
    </row>
    <row r="174" spans="2:23">
      <c r="B174" s="955"/>
      <c r="C174" s="956"/>
      <c r="D174" s="957"/>
      <c r="E174" s="958"/>
      <c r="F174" s="955"/>
      <c r="G174" s="956"/>
      <c r="H174" s="955"/>
      <c r="I174" s="959"/>
      <c r="J174" s="959"/>
      <c r="K174" s="959"/>
      <c r="L174" s="959"/>
      <c r="M174" s="956"/>
      <c r="N174" s="955"/>
      <c r="O174" s="959"/>
      <c r="P174" s="959"/>
      <c r="Q174" s="959"/>
      <c r="R174" s="959"/>
      <c r="S174" s="956"/>
      <c r="T174" s="960"/>
      <c r="U174" s="961"/>
      <c r="V174" s="954"/>
      <c r="W174" s="954"/>
    </row>
    <row r="175" spans="2:23">
      <c r="B175" s="952"/>
      <c r="C175" s="952"/>
      <c r="D175" s="957"/>
      <c r="E175" s="958"/>
      <c r="F175" s="952"/>
      <c r="G175" s="952"/>
      <c r="H175" s="955"/>
      <c r="I175" s="959"/>
      <c r="J175" s="959"/>
      <c r="K175" s="959"/>
      <c r="L175" s="959"/>
      <c r="M175" s="956"/>
      <c r="N175" s="955"/>
      <c r="O175" s="959"/>
      <c r="P175" s="959"/>
      <c r="Q175" s="959"/>
      <c r="R175" s="959"/>
      <c r="S175" s="956"/>
      <c r="T175" s="954"/>
      <c r="U175" s="954"/>
      <c r="V175" s="954"/>
      <c r="W175" s="954"/>
    </row>
    <row r="176" spans="2:23">
      <c r="B176" s="952"/>
      <c r="C176" s="952"/>
      <c r="D176" s="957"/>
      <c r="E176" s="958"/>
      <c r="F176" s="952"/>
      <c r="G176" s="952"/>
      <c r="H176" s="955"/>
      <c r="I176" s="959"/>
      <c r="J176" s="959"/>
      <c r="K176" s="959"/>
      <c r="L176" s="959"/>
      <c r="M176" s="956"/>
      <c r="N176" s="952"/>
      <c r="O176" s="977"/>
      <c r="P176" s="977"/>
      <c r="Q176" s="977"/>
      <c r="R176" s="977"/>
      <c r="S176" s="977"/>
      <c r="T176" s="954"/>
      <c r="U176" s="954"/>
      <c r="V176" s="954"/>
      <c r="W176" s="954"/>
    </row>
    <row r="177" spans="2:23">
      <c r="B177" s="952"/>
      <c r="C177" s="952"/>
      <c r="D177" s="953"/>
      <c r="E177" s="953"/>
      <c r="F177" s="952"/>
      <c r="G177" s="952"/>
      <c r="H177" s="955"/>
      <c r="I177" s="959"/>
      <c r="J177" s="959"/>
      <c r="K177" s="959"/>
      <c r="L177" s="959"/>
      <c r="M177" s="956"/>
      <c r="N177" s="955"/>
      <c r="O177" s="959"/>
      <c r="P177" s="959"/>
      <c r="Q177" s="959"/>
      <c r="R177" s="959"/>
      <c r="S177" s="956"/>
      <c r="T177" s="954"/>
      <c r="U177" s="954"/>
      <c r="V177" s="954"/>
      <c r="W177" s="954"/>
    </row>
    <row r="178" spans="2:23">
      <c r="B178" s="952"/>
      <c r="C178" s="952"/>
      <c r="D178" s="953"/>
      <c r="E178" s="953"/>
      <c r="F178" s="952"/>
      <c r="G178" s="952"/>
      <c r="H178" s="955"/>
      <c r="I178" s="959"/>
      <c r="J178" s="959"/>
      <c r="K178" s="959"/>
      <c r="L178" s="959"/>
      <c r="M178" s="956"/>
      <c r="N178" s="955"/>
      <c r="O178" s="959"/>
      <c r="P178" s="959"/>
      <c r="Q178" s="959"/>
      <c r="R178" s="959"/>
      <c r="S178" s="956"/>
      <c r="T178" s="960"/>
      <c r="U178" s="961"/>
      <c r="V178" s="954"/>
      <c r="W178" s="954"/>
    </row>
    <row r="179" spans="2:23">
      <c r="B179" s="952"/>
      <c r="C179" s="952"/>
      <c r="D179" s="953"/>
      <c r="E179" s="953"/>
      <c r="F179" s="952"/>
      <c r="G179" s="952"/>
      <c r="H179" s="952"/>
      <c r="I179" s="952"/>
      <c r="J179" s="952"/>
      <c r="K179" s="952"/>
      <c r="L179" s="952"/>
      <c r="M179" s="952"/>
      <c r="N179" s="955"/>
      <c r="O179" s="959"/>
      <c r="P179" s="959"/>
      <c r="Q179" s="959"/>
      <c r="R179" s="959"/>
      <c r="S179" s="956"/>
      <c r="T179" s="954"/>
      <c r="U179" s="954"/>
      <c r="V179" s="954"/>
      <c r="W179" s="954"/>
    </row>
    <row r="180" spans="2:23">
      <c r="B180" s="952"/>
      <c r="C180" s="952"/>
      <c r="D180" s="953"/>
      <c r="E180" s="953"/>
      <c r="F180" s="952"/>
      <c r="G180" s="952"/>
      <c r="H180" s="952"/>
      <c r="I180" s="952"/>
      <c r="J180" s="952"/>
      <c r="K180" s="952"/>
      <c r="L180" s="952"/>
      <c r="M180" s="952"/>
      <c r="N180" s="955"/>
      <c r="O180" s="959"/>
      <c r="P180" s="959"/>
      <c r="Q180" s="959"/>
      <c r="R180" s="959"/>
      <c r="S180" s="956"/>
      <c r="T180" s="954"/>
      <c r="U180" s="954"/>
      <c r="V180" s="954"/>
      <c r="W180" s="954"/>
    </row>
    <row r="181" spans="2:23">
      <c r="B181" s="952"/>
      <c r="C181" s="952"/>
      <c r="D181" s="953"/>
      <c r="E181" s="953"/>
      <c r="F181" s="952"/>
      <c r="G181" s="952"/>
      <c r="H181" s="952"/>
      <c r="I181" s="952"/>
      <c r="J181" s="952"/>
      <c r="K181" s="952"/>
      <c r="L181" s="952"/>
      <c r="M181" s="952"/>
      <c r="N181" s="955"/>
      <c r="O181" s="959"/>
      <c r="P181" s="959"/>
      <c r="Q181" s="959"/>
      <c r="R181" s="959"/>
      <c r="S181" s="956"/>
      <c r="T181" s="954"/>
      <c r="U181" s="954"/>
      <c r="V181" s="954"/>
      <c r="W181" s="954"/>
    </row>
    <row r="182" spans="2:23">
      <c r="B182" s="952"/>
      <c r="C182" s="952"/>
      <c r="D182" s="953"/>
      <c r="E182" s="953"/>
      <c r="F182" s="952"/>
      <c r="G182" s="952"/>
      <c r="H182" s="952"/>
      <c r="I182" s="952"/>
      <c r="J182" s="952"/>
      <c r="K182" s="952"/>
      <c r="L182" s="952"/>
      <c r="M182" s="952"/>
      <c r="N182" s="952"/>
      <c r="O182" s="952"/>
      <c r="P182" s="952"/>
      <c r="Q182" s="952"/>
      <c r="R182" s="952"/>
      <c r="S182" s="952"/>
      <c r="T182" s="954"/>
      <c r="U182" s="954"/>
      <c r="V182" s="954"/>
      <c r="W182" s="954"/>
    </row>
    <row r="183" spans="2:23">
      <c r="B183" s="952"/>
      <c r="C183" s="952"/>
      <c r="D183" s="953"/>
      <c r="E183" s="953"/>
      <c r="F183" s="952"/>
      <c r="G183" s="952"/>
      <c r="H183" s="952"/>
      <c r="I183" s="952"/>
      <c r="J183" s="952"/>
      <c r="K183" s="952"/>
      <c r="L183" s="952"/>
      <c r="M183" s="952"/>
      <c r="N183" s="952"/>
      <c r="O183" s="952"/>
      <c r="P183" s="952"/>
      <c r="Q183" s="952"/>
      <c r="R183" s="952"/>
      <c r="S183" s="952"/>
      <c r="T183" s="954"/>
      <c r="U183" s="954"/>
      <c r="V183" s="954"/>
      <c r="W183" s="954"/>
    </row>
    <row r="184" spans="2:23" ht="36" customHeight="1">
      <c r="B184" s="946" t="s">
        <v>143</v>
      </c>
      <c r="C184" s="947"/>
      <c r="D184" s="946" t="s">
        <v>144</v>
      </c>
      <c r="E184" s="947"/>
      <c r="F184" s="946" t="s">
        <v>145</v>
      </c>
      <c r="G184" s="947"/>
      <c r="H184" s="946" t="s">
        <v>146</v>
      </c>
      <c r="I184" s="948"/>
      <c r="J184" s="948"/>
      <c r="K184" s="948"/>
      <c r="L184" s="948"/>
      <c r="M184" s="947"/>
      <c r="N184" s="946" t="s">
        <v>147</v>
      </c>
      <c r="O184" s="948"/>
      <c r="P184" s="948"/>
      <c r="Q184" s="948"/>
      <c r="R184" s="948"/>
      <c r="S184" s="947"/>
      <c r="T184" s="946" t="s">
        <v>148</v>
      </c>
      <c r="U184" s="947"/>
      <c r="V184" s="946" t="s">
        <v>149</v>
      </c>
      <c r="W184" s="947"/>
    </row>
    <row r="185" spans="2:23" ht="21">
      <c r="B185" s="962" t="s">
        <v>140</v>
      </c>
      <c r="C185" s="963"/>
      <c r="D185" s="963"/>
      <c r="E185" s="963"/>
      <c r="F185" s="963"/>
      <c r="G185" s="963"/>
      <c r="H185" s="963"/>
      <c r="I185" s="963"/>
      <c r="J185" s="963"/>
      <c r="K185" s="963"/>
      <c r="L185" s="963"/>
      <c r="M185" s="963"/>
      <c r="N185" s="963"/>
      <c r="O185" s="963"/>
      <c r="P185" s="963"/>
      <c r="Q185" s="963"/>
      <c r="R185" s="963"/>
      <c r="S185" s="963"/>
      <c r="T185" s="963"/>
      <c r="U185" s="963"/>
      <c r="V185" s="963"/>
      <c r="W185" s="964"/>
    </row>
    <row r="186" spans="2:23">
      <c r="B186" s="967"/>
      <c r="C186" s="968"/>
      <c r="D186" s="965"/>
      <c r="E186" s="966"/>
      <c r="F186" s="967"/>
      <c r="G186" s="968"/>
      <c r="H186" s="967"/>
      <c r="I186" s="969"/>
      <c r="J186" s="969"/>
      <c r="K186" s="969"/>
      <c r="L186" s="969"/>
      <c r="M186" s="968"/>
      <c r="N186" s="955"/>
      <c r="O186" s="959"/>
      <c r="P186" s="959"/>
      <c r="Q186" s="959"/>
      <c r="R186" s="959"/>
      <c r="S186" s="956"/>
      <c r="T186" s="970"/>
      <c r="U186" s="971"/>
      <c r="V186" s="970"/>
      <c r="W186" s="971"/>
    </row>
    <row r="187" spans="2:23">
      <c r="B187" s="978"/>
      <c r="C187" s="956"/>
      <c r="D187" s="957"/>
      <c r="E187" s="958"/>
      <c r="F187" s="979"/>
      <c r="G187" s="980"/>
      <c r="H187" s="979"/>
      <c r="I187" s="981"/>
      <c r="J187" s="981"/>
      <c r="K187" s="981"/>
      <c r="L187" s="981"/>
      <c r="M187" s="980"/>
      <c r="N187" s="979"/>
      <c r="O187" s="981"/>
      <c r="P187" s="981"/>
      <c r="Q187" s="981"/>
      <c r="R187" s="981"/>
      <c r="S187" s="980"/>
      <c r="T187" s="982"/>
      <c r="U187" s="983"/>
      <c r="V187" s="982"/>
      <c r="W187" s="983"/>
    </row>
    <row r="188" spans="2:23">
      <c r="B188" s="979"/>
      <c r="C188" s="980"/>
      <c r="D188" s="984"/>
      <c r="E188" s="985"/>
      <c r="F188" s="979"/>
      <c r="G188" s="980"/>
      <c r="H188" s="979"/>
      <c r="I188" s="981"/>
      <c r="J188" s="981"/>
      <c r="K188" s="981"/>
      <c r="L188" s="981"/>
      <c r="M188" s="980"/>
      <c r="N188" s="979"/>
      <c r="O188" s="981"/>
      <c r="P188" s="981"/>
      <c r="Q188" s="981"/>
      <c r="R188" s="981"/>
      <c r="S188" s="980"/>
      <c r="T188" s="982"/>
      <c r="U188" s="983"/>
      <c r="V188" s="970"/>
      <c r="W188" s="971"/>
    </row>
    <row r="189" spans="2:23">
      <c r="B189" s="979"/>
      <c r="C189" s="980"/>
      <c r="D189" s="957"/>
      <c r="E189" s="958"/>
      <c r="F189" s="979"/>
      <c r="G189" s="980"/>
      <c r="H189" s="979"/>
      <c r="I189" s="981"/>
      <c r="J189" s="981"/>
      <c r="K189" s="981"/>
      <c r="L189" s="981"/>
      <c r="M189" s="980"/>
      <c r="N189" s="955"/>
      <c r="O189" s="959"/>
      <c r="P189" s="959"/>
      <c r="Q189" s="959"/>
      <c r="R189" s="959"/>
      <c r="S189" s="956"/>
      <c r="T189" s="982"/>
      <c r="U189" s="983"/>
      <c r="V189" s="982"/>
      <c r="W189" s="983"/>
    </row>
    <row r="190" spans="2:23">
      <c r="B190" s="952"/>
      <c r="C190" s="952"/>
      <c r="D190" s="953"/>
      <c r="E190" s="953"/>
      <c r="F190" s="952"/>
      <c r="G190" s="952"/>
      <c r="H190" s="368"/>
      <c r="I190" s="373"/>
      <c r="J190" s="373"/>
      <c r="K190" s="373"/>
      <c r="L190" s="373"/>
      <c r="M190" s="369"/>
      <c r="N190" s="955"/>
      <c r="O190" s="959"/>
      <c r="P190" s="959"/>
      <c r="Q190" s="959"/>
      <c r="R190" s="959"/>
      <c r="S190" s="956"/>
      <c r="T190" s="960"/>
      <c r="U190" s="961"/>
      <c r="V190" s="970"/>
      <c r="W190" s="971"/>
    </row>
    <row r="191" spans="2:23">
      <c r="B191" s="952"/>
      <c r="C191" s="952"/>
      <c r="D191" s="957"/>
      <c r="E191" s="958"/>
      <c r="F191" s="979"/>
      <c r="G191" s="980"/>
      <c r="H191" s="979"/>
      <c r="I191" s="981"/>
      <c r="J191" s="981"/>
      <c r="K191" s="981"/>
      <c r="L191" s="981"/>
      <c r="M191" s="980"/>
      <c r="N191" s="952"/>
      <c r="O191" s="952"/>
      <c r="P191" s="952"/>
      <c r="Q191" s="952"/>
      <c r="R191" s="952"/>
      <c r="S191" s="952"/>
      <c r="T191" s="954"/>
      <c r="U191" s="954"/>
      <c r="V191" s="982"/>
      <c r="W191" s="983"/>
    </row>
    <row r="192" spans="2:23">
      <c r="B192" s="952"/>
      <c r="C192" s="952"/>
      <c r="D192" s="953"/>
      <c r="E192" s="953"/>
      <c r="F192" s="952"/>
      <c r="G192" s="952"/>
      <c r="H192" s="952"/>
      <c r="I192" s="952"/>
      <c r="J192" s="952"/>
      <c r="K192" s="952"/>
      <c r="L192" s="952"/>
      <c r="M192" s="952"/>
      <c r="N192" s="952"/>
      <c r="O192" s="952"/>
      <c r="P192" s="952"/>
      <c r="Q192" s="952"/>
      <c r="R192" s="952"/>
      <c r="S192" s="952"/>
      <c r="T192" s="954"/>
      <c r="U192" s="954"/>
      <c r="V192" s="970"/>
      <c r="W192" s="971"/>
    </row>
    <row r="193" spans="2:23">
      <c r="B193" s="952"/>
      <c r="C193" s="952"/>
      <c r="D193" s="953"/>
      <c r="E193" s="953"/>
      <c r="F193" s="979"/>
      <c r="G193" s="980"/>
      <c r="H193" s="979"/>
      <c r="I193" s="981"/>
      <c r="J193" s="981"/>
      <c r="K193" s="981"/>
      <c r="L193" s="981"/>
      <c r="M193" s="980"/>
      <c r="N193" s="952"/>
      <c r="O193" s="952"/>
      <c r="P193" s="952"/>
      <c r="Q193" s="952"/>
      <c r="R193" s="952"/>
      <c r="S193" s="952"/>
      <c r="T193" s="954"/>
      <c r="U193" s="954"/>
      <c r="V193" s="982"/>
      <c r="W193" s="983"/>
    </row>
    <row r="194" spans="2:23">
      <c r="B194" s="952"/>
      <c r="C194" s="952"/>
      <c r="D194" s="953"/>
      <c r="E194" s="953"/>
      <c r="F194" s="952"/>
      <c r="G194" s="952"/>
      <c r="H194" s="952"/>
      <c r="I194" s="952"/>
      <c r="J194" s="952"/>
      <c r="K194" s="952"/>
      <c r="L194" s="952"/>
      <c r="M194" s="952"/>
      <c r="N194" s="952"/>
      <c r="O194" s="952"/>
      <c r="P194" s="952"/>
      <c r="Q194" s="952"/>
      <c r="R194" s="952"/>
      <c r="S194" s="952"/>
      <c r="T194" s="954"/>
      <c r="U194" s="954"/>
      <c r="V194" s="970"/>
      <c r="W194" s="971"/>
    </row>
    <row r="195" spans="2:23">
      <c r="B195" s="955"/>
      <c r="C195" s="956"/>
      <c r="D195" s="953"/>
      <c r="E195" s="953"/>
      <c r="F195" s="979"/>
      <c r="G195" s="980"/>
      <c r="H195" s="979"/>
      <c r="I195" s="981"/>
      <c r="J195" s="981"/>
      <c r="K195" s="981"/>
      <c r="L195" s="981"/>
      <c r="M195" s="980"/>
      <c r="N195" s="955"/>
      <c r="O195" s="959"/>
      <c r="P195" s="959"/>
      <c r="Q195" s="959"/>
      <c r="R195" s="959"/>
      <c r="S195" s="956"/>
      <c r="T195" s="960"/>
      <c r="U195" s="961"/>
      <c r="V195" s="982"/>
      <c r="W195" s="983"/>
    </row>
    <row r="196" spans="2:23">
      <c r="B196" s="955"/>
      <c r="C196" s="956"/>
      <c r="D196" s="957"/>
      <c r="E196" s="958"/>
      <c r="F196" s="368"/>
      <c r="G196" s="369"/>
      <c r="H196" s="955"/>
      <c r="I196" s="959"/>
      <c r="J196" s="959"/>
      <c r="K196" s="959"/>
      <c r="L196" s="959"/>
      <c r="M196" s="956"/>
      <c r="N196" s="955"/>
      <c r="O196" s="959"/>
      <c r="P196" s="959"/>
      <c r="Q196" s="959"/>
      <c r="R196" s="959"/>
      <c r="S196" s="956"/>
      <c r="T196" s="960"/>
      <c r="U196" s="961"/>
      <c r="V196" s="960"/>
      <c r="W196" s="961"/>
    </row>
    <row r="197" spans="2:23">
      <c r="B197" s="955"/>
      <c r="C197" s="956"/>
      <c r="D197" s="957"/>
      <c r="E197" s="958"/>
      <c r="F197" s="979"/>
      <c r="G197" s="980"/>
      <c r="H197" s="979"/>
      <c r="I197" s="981"/>
      <c r="J197" s="981"/>
      <c r="K197" s="981"/>
      <c r="L197" s="981"/>
      <c r="M197" s="980"/>
      <c r="N197" s="955"/>
      <c r="O197" s="959"/>
      <c r="P197" s="959"/>
      <c r="Q197" s="959"/>
      <c r="R197" s="959"/>
      <c r="S197" s="956"/>
      <c r="T197" s="960"/>
      <c r="U197" s="961"/>
      <c r="V197" s="982"/>
      <c r="W197" s="983"/>
    </row>
    <row r="198" spans="2:23">
      <c r="B198" s="955"/>
      <c r="C198" s="956"/>
      <c r="D198" s="986"/>
      <c r="E198" s="987"/>
      <c r="F198" s="368"/>
      <c r="G198" s="369"/>
      <c r="H198" s="972"/>
      <c r="I198" s="988"/>
      <c r="J198" s="988"/>
      <c r="K198" s="988"/>
      <c r="L198" s="988"/>
      <c r="M198" s="989"/>
      <c r="N198" s="972"/>
      <c r="O198" s="988"/>
      <c r="P198" s="988"/>
      <c r="Q198" s="988"/>
      <c r="R198" s="988"/>
      <c r="S198" s="989"/>
      <c r="T198" s="990"/>
      <c r="U198" s="991"/>
      <c r="V198" s="990"/>
      <c r="W198" s="991"/>
    </row>
    <row r="199" spans="2:23" ht="36" customHeight="1">
      <c r="B199" s="946" t="s">
        <v>143</v>
      </c>
      <c r="C199" s="947"/>
      <c r="D199" s="946" t="s">
        <v>144</v>
      </c>
      <c r="E199" s="947"/>
      <c r="F199" s="946" t="s">
        <v>145</v>
      </c>
      <c r="G199" s="947"/>
      <c r="H199" s="946" t="s">
        <v>146</v>
      </c>
      <c r="I199" s="948"/>
      <c r="J199" s="948"/>
      <c r="K199" s="948"/>
      <c r="L199" s="948"/>
      <c r="M199" s="947"/>
      <c r="N199" s="946" t="s">
        <v>147</v>
      </c>
      <c r="O199" s="948"/>
      <c r="P199" s="948"/>
      <c r="Q199" s="948"/>
      <c r="R199" s="948"/>
      <c r="S199" s="947"/>
      <c r="T199" s="946" t="s">
        <v>148</v>
      </c>
      <c r="U199" s="947"/>
      <c r="V199" s="946" t="s">
        <v>149</v>
      </c>
      <c r="W199" s="947"/>
    </row>
    <row r="200" spans="2:23" ht="21">
      <c r="B200" s="992" t="s">
        <v>141</v>
      </c>
      <c r="C200" s="993"/>
      <c r="D200" s="993"/>
      <c r="E200" s="993"/>
      <c r="F200" s="993"/>
      <c r="G200" s="993"/>
      <c r="H200" s="993"/>
      <c r="I200" s="993"/>
      <c r="J200" s="993"/>
      <c r="K200" s="993"/>
      <c r="L200" s="993"/>
      <c r="M200" s="993"/>
      <c r="N200" s="993"/>
      <c r="O200" s="993"/>
      <c r="P200" s="993"/>
      <c r="Q200" s="993"/>
      <c r="R200" s="993"/>
      <c r="S200" s="993"/>
      <c r="T200" s="993"/>
      <c r="U200" s="993"/>
      <c r="V200" s="993"/>
      <c r="W200" s="994"/>
    </row>
    <row r="201" spans="2:23">
      <c r="B201" s="995" t="s">
        <v>412</v>
      </c>
      <c r="C201" s="995"/>
      <c r="D201" s="996"/>
      <c r="E201" s="968"/>
      <c r="F201" s="965"/>
      <c r="G201" s="966"/>
      <c r="H201" s="967" t="s">
        <v>413</v>
      </c>
      <c r="I201" s="969"/>
      <c r="J201" s="969"/>
      <c r="K201" s="969"/>
      <c r="L201" s="969"/>
      <c r="M201" s="968"/>
      <c r="N201" s="995" t="s">
        <v>414</v>
      </c>
      <c r="O201" s="995"/>
      <c r="P201" s="995"/>
      <c r="Q201" s="995"/>
      <c r="R201" s="995"/>
      <c r="S201" s="995"/>
      <c r="T201" s="970"/>
      <c r="U201" s="971"/>
      <c r="V201" s="997"/>
      <c r="W201" s="998"/>
    </row>
    <row r="202" spans="2:23">
      <c r="B202" s="995"/>
      <c r="C202" s="995"/>
      <c r="D202" s="996"/>
      <c r="E202" s="968"/>
      <c r="F202" s="965"/>
      <c r="G202" s="966"/>
      <c r="H202" s="967" t="s">
        <v>415</v>
      </c>
      <c r="I202" s="969"/>
      <c r="J202" s="969"/>
      <c r="K202" s="969"/>
      <c r="L202" s="969"/>
      <c r="M202" s="968"/>
      <c r="N202" s="995" t="s">
        <v>416</v>
      </c>
      <c r="O202" s="995"/>
      <c r="P202" s="995"/>
      <c r="Q202" s="995"/>
      <c r="R202" s="995"/>
      <c r="S202" s="995"/>
      <c r="T202" s="970"/>
      <c r="U202" s="971"/>
      <c r="V202" s="997"/>
      <c r="W202" s="998"/>
    </row>
    <row r="203" spans="2:23">
      <c r="B203" s="995"/>
      <c r="C203" s="995"/>
      <c r="D203" s="996"/>
      <c r="E203" s="968"/>
      <c r="F203" s="965"/>
      <c r="G203" s="966"/>
      <c r="H203" s="955"/>
      <c r="I203" s="959"/>
      <c r="J203" s="959"/>
      <c r="K203" s="959"/>
      <c r="L203" s="959"/>
      <c r="M203" s="956"/>
      <c r="N203" s="952"/>
      <c r="O203" s="952"/>
      <c r="P203" s="952"/>
      <c r="Q203" s="952"/>
      <c r="R203" s="952"/>
      <c r="S203" s="952"/>
      <c r="T203" s="960"/>
      <c r="U203" s="961"/>
      <c r="V203" s="960"/>
      <c r="W203" s="999"/>
    </row>
    <row r="204" spans="2:23">
      <c r="B204" s="978" t="s">
        <v>417</v>
      </c>
      <c r="C204" s="956"/>
      <c r="D204" s="957"/>
      <c r="E204" s="1000"/>
      <c r="F204" s="957"/>
      <c r="G204" s="958"/>
      <c r="H204" s="955" t="s">
        <v>418</v>
      </c>
      <c r="I204" s="959"/>
      <c r="J204" s="959"/>
      <c r="K204" s="959"/>
      <c r="L204" s="959"/>
      <c r="M204" s="956"/>
      <c r="N204" s="955" t="s">
        <v>419</v>
      </c>
      <c r="O204" s="959"/>
      <c r="P204" s="959"/>
      <c r="Q204" s="959"/>
      <c r="R204" s="959"/>
      <c r="S204" s="956"/>
      <c r="T204" s="960"/>
      <c r="U204" s="961"/>
      <c r="V204" s="960"/>
      <c r="W204" s="999"/>
    </row>
    <row r="205" spans="2:23">
      <c r="B205" s="978"/>
      <c r="C205" s="956"/>
      <c r="D205" s="957"/>
      <c r="E205" s="1000"/>
      <c r="F205" s="957"/>
      <c r="G205" s="958"/>
      <c r="H205" s="955" t="s">
        <v>420</v>
      </c>
      <c r="I205" s="959"/>
      <c r="J205" s="959"/>
      <c r="K205" s="959"/>
      <c r="L205" s="959"/>
      <c r="M205" s="956"/>
      <c r="N205" s="955" t="s">
        <v>421</v>
      </c>
      <c r="O205" s="959"/>
      <c r="P205" s="959"/>
      <c r="Q205" s="959"/>
      <c r="R205" s="959"/>
      <c r="S205" s="956"/>
      <c r="T205" s="960"/>
      <c r="U205" s="961"/>
      <c r="V205" s="960"/>
      <c r="W205" s="999"/>
    </row>
    <row r="206" spans="2:23">
      <c r="B206" s="978"/>
      <c r="C206" s="956"/>
      <c r="D206" s="957"/>
      <c r="E206" s="1000"/>
      <c r="F206" s="957"/>
      <c r="G206" s="958"/>
      <c r="H206" s="955" t="s">
        <v>422</v>
      </c>
      <c r="I206" s="959"/>
      <c r="J206" s="959"/>
      <c r="K206" s="959"/>
      <c r="L206" s="959"/>
      <c r="M206" s="956"/>
      <c r="N206" s="955" t="s">
        <v>421</v>
      </c>
      <c r="O206" s="959"/>
      <c r="P206" s="959"/>
      <c r="Q206" s="959"/>
      <c r="R206" s="959"/>
      <c r="S206" s="956"/>
      <c r="T206" s="960"/>
      <c r="U206" s="961"/>
      <c r="V206" s="954"/>
      <c r="W206" s="1001"/>
    </row>
    <row r="207" spans="2:23">
      <c r="B207" s="978"/>
      <c r="C207" s="956"/>
      <c r="D207" s="957"/>
      <c r="E207" s="1000"/>
      <c r="F207" s="957"/>
      <c r="G207" s="958"/>
      <c r="H207" s="955"/>
      <c r="I207" s="959"/>
      <c r="J207" s="959"/>
      <c r="K207" s="959"/>
      <c r="L207" s="959"/>
      <c r="M207" s="956"/>
      <c r="N207" s="955"/>
      <c r="O207" s="959"/>
      <c r="P207" s="959"/>
      <c r="Q207" s="959"/>
      <c r="R207" s="959"/>
      <c r="S207" s="956"/>
      <c r="T207" s="960"/>
      <c r="U207" s="961"/>
      <c r="V207" s="960"/>
      <c r="W207" s="999"/>
    </row>
    <row r="208" spans="2:23">
      <c r="B208" s="978" t="s">
        <v>423</v>
      </c>
      <c r="C208" s="956"/>
      <c r="D208" s="957"/>
      <c r="E208" s="958"/>
      <c r="F208" s="957"/>
      <c r="G208" s="958"/>
      <c r="H208" s="955" t="s">
        <v>424</v>
      </c>
      <c r="I208" s="959"/>
      <c r="J208" s="959"/>
      <c r="K208" s="959"/>
      <c r="L208" s="959"/>
      <c r="M208" s="956"/>
      <c r="N208" s="955" t="s">
        <v>416</v>
      </c>
      <c r="O208" s="959"/>
      <c r="P208" s="959"/>
      <c r="Q208" s="959"/>
      <c r="R208" s="959"/>
      <c r="S208" s="956"/>
      <c r="T208" s="960"/>
      <c r="U208" s="961"/>
      <c r="V208" s="960"/>
      <c r="W208" s="999"/>
    </row>
    <row r="209" spans="1:24">
      <c r="B209" s="978"/>
      <c r="C209" s="956"/>
      <c r="D209" s="957"/>
      <c r="E209" s="958"/>
      <c r="F209" s="957"/>
      <c r="G209" s="958"/>
      <c r="H209" s="955"/>
      <c r="I209" s="959"/>
      <c r="J209" s="959"/>
      <c r="K209" s="959"/>
      <c r="L209" s="959"/>
      <c r="M209" s="956"/>
      <c r="N209" s="955"/>
      <c r="O209" s="959"/>
      <c r="P209" s="959"/>
      <c r="Q209" s="959"/>
      <c r="R209" s="959"/>
      <c r="S209" s="956"/>
      <c r="T209" s="960"/>
      <c r="U209" s="961"/>
      <c r="V209" s="960"/>
      <c r="W209" s="999"/>
    </row>
    <row r="210" spans="1:24">
      <c r="B210" s="978" t="s">
        <v>425</v>
      </c>
      <c r="C210" s="956"/>
      <c r="D210" s="957"/>
      <c r="E210" s="958"/>
      <c r="F210" s="957"/>
      <c r="G210" s="958"/>
      <c r="H210" s="955" t="s">
        <v>418</v>
      </c>
      <c r="I210" s="959"/>
      <c r="J210" s="959"/>
      <c r="K210" s="959"/>
      <c r="L210" s="959"/>
      <c r="M210" s="956"/>
      <c r="N210" s="952" t="s">
        <v>419</v>
      </c>
      <c r="O210" s="952"/>
      <c r="P210" s="952"/>
      <c r="Q210" s="952"/>
      <c r="R210" s="952"/>
      <c r="S210" s="952"/>
      <c r="T210" s="960"/>
      <c r="U210" s="961"/>
      <c r="V210" s="960"/>
      <c r="W210" s="999"/>
    </row>
    <row r="211" spans="1:24">
      <c r="B211" s="374"/>
      <c r="C211" s="369"/>
      <c r="D211" s="1002"/>
      <c r="E211" s="1003"/>
      <c r="F211" s="957"/>
      <c r="G211" s="958"/>
      <c r="H211" s="955"/>
      <c r="I211" s="959"/>
      <c r="J211" s="959"/>
      <c r="K211" s="959"/>
      <c r="L211" s="959"/>
      <c r="M211" s="956"/>
      <c r="N211" s="952"/>
      <c r="O211" s="952"/>
      <c r="P211" s="952"/>
      <c r="Q211" s="952"/>
      <c r="R211" s="952"/>
      <c r="S211" s="952"/>
      <c r="T211" s="954"/>
      <c r="U211" s="954"/>
      <c r="V211" s="954"/>
      <c r="W211" s="1001"/>
    </row>
    <row r="212" spans="1:24">
      <c r="B212" s="978"/>
      <c r="C212" s="956"/>
      <c r="D212" s="957"/>
      <c r="E212" s="1000"/>
      <c r="F212" s="957"/>
      <c r="G212" s="958"/>
      <c r="H212" s="955"/>
      <c r="I212" s="959"/>
      <c r="J212" s="959"/>
      <c r="K212" s="959"/>
      <c r="L212" s="959"/>
      <c r="M212" s="956"/>
      <c r="N212" s="952"/>
      <c r="O212" s="952"/>
      <c r="P212" s="952"/>
      <c r="Q212" s="952"/>
      <c r="R212" s="952"/>
      <c r="S212" s="952"/>
      <c r="T212" s="954"/>
      <c r="U212" s="954"/>
      <c r="V212" s="954"/>
      <c r="W212" s="1001"/>
    </row>
    <row r="213" spans="1:24">
      <c r="B213" s="1004"/>
      <c r="C213" s="1005"/>
      <c r="D213" s="1002"/>
      <c r="E213" s="1003"/>
      <c r="F213" s="957"/>
      <c r="G213" s="958"/>
      <c r="H213" s="955"/>
      <c r="I213" s="959"/>
      <c r="J213" s="959"/>
      <c r="K213" s="959"/>
      <c r="L213" s="959"/>
      <c r="M213" s="956"/>
      <c r="N213" s="952"/>
      <c r="O213" s="952"/>
      <c r="P213" s="952"/>
      <c r="Q213" s="952"/>
      <c r="R213" s="952"/>
      <c r="S213" s="952"/>
      <c r="T213" s="960"/>
      <c r="U213" s="961"/>
      <c r="V213" s="954"/>
      <c r="W213" s="1001"/>
    </row>
    <row r="214" spans="1:24">
      <c r="B214" s="978"/>
      <c r="C214" s="956"/>
      <c r="D214" s="957"/>
      <c r="E214" s="1000"/>
      <c r="F214" s="957"/>
      <c r="G214" s="958"/>
      <c r="H214" s="955"/>
      <c r="I214" s="959"/>
      <c r="J214" s="959"/>
      <c r="K214" s="959"/>
      <c r="L214" s="959"/>
      <c r="M214" s="956"/>
      <c r="N214" s="952"/>
      <c r="O214" s="952"/>
      <c r="P214" s="952"/>
      <c r="Q214" s="952"/>
      <c r="R214" s="952"/>
      <c r="S214" s="952"/>
      <c r="T214" s="960"/>
      <c r="U214" s="961"/>
      <c r="V214" s="954"/>
      <c r="W214" s="1001"/>
    </row>
    <row r="215" spans="1:24">
      <c r="B215" s="1006"/>
      <c r="C215" s="1007"/>
      <c r="D215" s="1008"/>
      <c r="E215" s="1009"/>
      <c r="F215" s="375"/>
      <c r="G215" s="376"/>
      <c r="H215" s="972"/>
      <c r="I215" s="988"/>
      <c r="J215" s="988"/>
      <c r="K215" s="988"/>
      <c r="L215" s="988"/>
      <c r="M215" s="989"/>
      <c r="N215" s="1010"/>
      <c r="O215" s="1010"/>
      <c r="P215" s="1010"/>
      <c r="Q215" s="1010"/>
      <c r="R215" s="1010"/>
      <c r="S215" s="1010"/>
      <c r="T215" s="1011"/>
      <c r="U215" s="1011"/>
      <c r="V215" s="1011"/>
      <c r="W215" s="1012"/>
    </row>
    <row r="216" spans="1:24">
      <c r="I216" s="77"/>
      <c r="J216" s="406"/>
      <c r="K216" s="406"/>
      <c r="L216" s="406"/>
      <c r="M216" s="406"/>
      <c r="N216" s="406"/>
      <c r="O216" s="407"/>
      <c r="P216" s="407"/>
      <c r="Q216" s="407"/>
      <c r="R216" s="407"/>
      <c r="S216" s="407"/>
      <c r="T216" s="407"/>
      <c r="U216" s="406"/>
      <c r="V216" s="406"/>
      <c r="W216" s="412"/>
      <c r="X216" s="412"/>
    </row>
    <row r="217" spans="1:24">
      <c r="I217" s="77"/>
      <c r="J217" s="77"/>
      <c r="K217" s="406"/>
      <c r="L217" s="406"/>
      <c r="M217" s="406"/>
      <c r="N217" s="406"/>
      <c r="O217" s="407"/>
      <c r="P217" s="407"/>
      <c r="Q217" s="407"/>
      <c r="R217" s="407"/>
      <c r="S217" s="407"/>
      <c r="T217" s="407"/>
      <c r="U217" s="406"/>
      <c r="V217" s="406"/>
      <c r="W217" s="412"/>
      <c r="X217" s="412"/>
    </row>
    <row r="218" spans="1:24" ht="36">
      <c r="B218" s="1013" t="s">
        <v>426</v>
      </c>
      <c r="C218" s="1014"/>
      <c r="D218" s="1014"/>
      <c r="E218" s="1014"/>
      <c r="F218" s="1014"/>
      <c r="G218" s="1014"/>
      <c r="H218" s="1014"/>
      <c r="I218" s="1014"/>
      <c r="J218" s="1014"/>
      <c r="K218" s="1014"/>
      <c r="L218" s="1014"/>
      <c r="M218" s="1014"/>
      <c r="N218" s="1014"/>
      <c r="O218" s="1014"/>
      <c r="P218" s="1014"/>
      <c r="Q218" s="1014"/>
      <c r="R218" s="1015"/>
      <c r="T218" s="407"/>
      <c r="U218" s="406"/>
      <c r="V218" s="406"/>
    </row>
    <row r="219" spans="1:24" ht="66.75" customHeight="1">
      <c r="B219" s="1016" t="s">
        <v>427</v>
      </c>
      <c r="C219" s="1017"/>
      <c r="D219" s="1017"/>
      <c r="E219" s="1017" t="s">
        <v>428</v>
      </c>
      <c r="F219" s="1017"/>
      <c r="G219" s="1017" t="s">
        <v>429</v>
      </c>
      <c r="H219" s="1017"/>
      <c r="I219" s="1017" t="s">
        <v>185</v>
      </c>
      <c r="J219" s="1017"/>
      <c r="K219" s="1017" t="s">
        <v>430</v>
      </c>
      <c r="L219" s="1017"/>
      <c r="M219" s="1017" t="s">
        <v>431</v>
      </c>
      <c r="N219" s="1017"/>
      <c r="O219" s="1017" t="s">
        <v>188</v>
      </c>
      <c r="P219" s="1017"/>
      <c r="Q219" s="1017" t="s">
        <v>189</v>
      </c>
      <c r="R219" s="1018"/>
      <c r="T219" s="407"/>
      <c r="U219" s="406"/>
      <c r="V219" s="406"/>
    </row>
    <row r="220" spans="1:24">
      <c r="A220" s="77">
        <v>43334</v>
      </c>
      <c r="B220" s="1019" t="s">
        <v>432</v>
      </c>
      <c r="C220" s="1020"/>
      <c r="D220" s="1020"/>
      <c r="E220" s="1021">
        <v>3</v>
      </c>
      <c r="F220" s="1022"/>
      <c r="G220" s="1023">
        <v>0</v>
      </c>
      <c r="H220" s="1022"/>
      <c r="I220" s="1023">
        <v>0</v>
      </c>
      <c r="J220" s="1022"/>
      <c r="K220" s="1023">
        <v>0</v>
      </c>
      <c r="L220" s="1022"/>
      <c r="M220" s="1024">
        <v>0</v>
      </c>
      <c r="N220" s="1025"/>
      <c r="O220" s="1026" t="e">
        <f t="shared" ref="O220:O223" si="4">I220/G220</f>
        <v>#DIV/0!</v>
      </c>
      <c r="P220" s="1027"/>
      <c r="Q220" s="894" t="s">
        <v>433</v>
      </c>
      <c r="R220" s="1028"/>
      <c r="T220" s="407"/>
      <c r="U220" s="406"/>
      <c r="V220" s="406"/>
    </row>
    <row r="221" spans="1:24">
      <c r="A221" s="77">
        <v>43337</v>
      </c>
      <c r="B221" s="1019" t="s">
        <v>434</v>
      </c>
      <c r="C221" s="1020"/>
      <c r="D221" s="1020"/>
      <c r="E221" s="1021">
        <v>81</v>
      </c>
      <c r="F221" s="1022"/>
      <c r="G221" s="1023">
        <v>3</v>
      </c>
      <c r="H221" s="1022"/>
      <c r="I221" s="1023">
        <v>0</v>
      </c>
      <c r="J221" s="1022"/>
      <c r="K221" s="1023">
        <v>0</v>
      </c>
      <c r="L221" s="1022"/>
      <c r="M221" s="1024">
        <v>2</v>
      </c>
      <c r="N221" s="1025"/>
      <c r="O221" s="1029">
        <f t="shared" si="4"/>
        <v>0</v>
      </c>
      <c r="P221" s="1030"/>
      <c r="Q221" s="894" t="s">
        <v>433</v>
      </c>
      <c r="R221" s="1028"/>
      <c r="T221" s="407"/>
      <c r="U221" s="406"/>
      <c r="V221" s="406"/>
    </row>
    <row r="222" spans="1:24">
      <c r="A222" s="77">
        <v>43338</v>
      </c>
      <c r="B222" s="1031" t="s">
        <v>435</v>
      </c>
      <c r="C222" s="1032"/>
      <c r="D222" s="1032"/>
      <c r="E222" s="1021">
        <v>2</v>
      </c>
      <c r="F222" s="1022"/>
      <c r="G222" s="1023">
        <v>0</v>
      </c>
      <c r="H222" s="1022"/>
      <c r="I222" s="1023">
        <v>0</v>
      </c>
      <c r="J222" s="1022"/>
      <c r="K222" s="1023">
        <v>0</v>
      </c>
      <c r="L222" s="1022"/>
      <c r="M222" s="1024">
        <v>0</v>
      </c>
      <c r="N222" s="1025"/>
      <c r="O222" s="1029" t="e">
        <f t="shared" si="4"/>
        <v>#DIV/0!</v>
      </c>
      <c r="P222" s="1030"/>
      <c r="Q222" s="894" t="s">
        <v>433</v>
      </c>
      <c r="R222" s="1028"/>
      <c r="T222" s="407"/>
      <c r="U222" s="406"/>
      <c r="V222" s="406"/>
    </row>
    <row r="223" spans="1:24">
      <c r="A223" s="77">
        <v>43341</v>
      </c>
      <c r="B223" s="1033" t="s">
        <v>191</v>
      </c>
      <c r="C223" s="1034"/>
      <c r="D223" s="1034"/>
      <c r="E223" s="1035">
        <v>87</v>
      </c>
      <c r="F223" s="1036"/>
      <c r="G223" s="1037">
        <v>22</v>
      </c>
      <c r="H223" s="1036"/>
      <c r="I223" s="1037">
        <v>21</v>
      </c>
      <c r="J223" s="1036"/>
      <c r="K223" s="1037">
        <v>0</v>
      </c>
      <c r="L223" s="1036"/>
      <c r="M223" s="1038">
        <v>5</v>
      </c>
      <c r="N223" s="1039"/>
      <c r="O223" s="1040">
        <f t="shared" si="4"/>
        <v>0.95454545454545503</v>
      </c>
      <c r="P223" s="1040"/>
      <c r="Q223" s="1040" t="s">
        <v>433</v>
      </c>
      <c r="R223" s="1041"/>
      <c r="T223" s="407"/>
      <c r="U223" s="406"/>
      <c r="V223" s="406"/>
    </row>
    <row r="224" spans="1:24">
      <c r="T224" s="407"/>
      <c r="U224" s="406"/>
      <c r="V224" s="406"/>
    </row>
    <row r="225" spans="1:31">
      <c r="B225" s="377" t="s">
        <v>436</v>
      </c>
      <c r="C225" s="378">
        <v>45839</v>
      </c>
      <c r="D225" s="378">
        <v>45870</v>
      </c>
      <c r="E225" s="378">
        <v>45901</v>
      </c>
      <c r="F225" s="378">
        <v>45931</v>
      </c>
      <c r="G225" s="378">
        <v>45962</v>
      </c>
      <c r="H225" s="378">
        <v>45992</v>
      </c>
      <c r="I225" s="378">
        <v>46023</v>
      </c>
      <c r="J225" s="378">
        <v>46054</v>
      </c>
      <c r="K225" s="378">
        <v>46082</v>
      </c>
      <c r="L225" s="378">
        <v>46113</v>
      </c>
      <c r="M225" s="378">
        <v>46143</v>
      </c>
      <c r="N225" s="378">
        <v>46174</v>
      </c>
      <c r="O225" s="378">
        <v>46204</v>
      </c>
      <c r="P225" s="378">
        <v>46235</v>
      </c>
      <c r="Q225" s="413" t="s">
        <v>437</v>
      </c>
      <c r="T225" s="407"/>
      <c r="U225" s="406"/>
      <c r="V225" s="406"/>
    </row>
    <row r="226" spans="1:31">
      <c r="B226" s="643" t="s">
        <v>438</v>
      </c>
      <c r="C226" s="380">
        <v>0</v>
      </c>
      <c r="D226" s="381">
        <v>0</v>
      </c>
      <c r="E226" s="382">
        <v>0</v>
      </c>
      <c r="F226" s="381">
        <v>0</v>
      </c>
      <c r="G226" s="381">
        <v>0</v>
      </c>
      <c r="H226" s="381">
        <v>0</v>
      </c>
      <c r="I226" s="381">
        <v>0</v>
      </c>
      <c r="J226" s="381">
        <v>39</v>
      </c>
      <c r="K226" s="381">
        <v>0</v>
      </c>
      <c r="L226" s="381">
        <v>0</v>
      </c>
      <c r="M226" s="408">
        <v>0</v>
      </c>
      <c r="N226" s="408">
        <v>0</v>
      </c>
      <c r="O226" s="409">
        <v>0</v>
      </c>
      <c r="P226" s="408">
        <v>0</v>
      </c>
      <c r="Q226" s="414">
        <f t="shared" ref="Q226:Q229" si="5">C226+D226+E226+F226+G226+H226+I226+J226+K226+L226+M226+N226+O226+P226</f>
        <v>39</v>
      </c>
      <c r="T226" s="407"/>
      <c r="U226" s="406"/>
      <c r="V226" s="406"/>
    </row>
    <row r="227" spans="1:31">
      <c r="B227" s="643" t="s">
        <v>439</v>
      </c>
      <c r="C227" s="383">
        <v>1</v>
      </c>
      <c r="D227" s="384">
        <v>0</v>
      </c>
      <c r="E227" s="385">
        <v>0</v>
      </c>
      <c r="F227" s="384">
        <v>0</v>
      </c>
      <c r="G227" s="384">
        <v>0</v>
      </c>
      <c r="H227" s="384">
        <v>9</v>
      </c>
      <c r="I227" s="384">
        <v>21</v>
      </c>
      <c r="J227" s="384">
        <v>206</v>
      </c>
      <c r="K227" s="384">
        <v>0</v>
      </c>
      <c r="L227" s="384">
        <v>0</v>
      </c>
      <c r="M227" s="410">
        <v>0</v>
      </c>
      <c r="N227" s="410">
        <v>0</v>
      </c>
      <c r="O227" s="410">
        <v>0</v>
      </c>
      <c r="P227" s="410">
        <v>0</v>
      </c>
      <c r="Q227" s="415">
        <f t="shared" si="5"/>
        <v>237</v>
      </c>
      <c r="T227" s="407"/>
      <c r="U227" s="406"/>
      <c r="V227" s="406"/>
    </row>
    <row r="228" spans="1:31">
      <c r="B228" s="643" t="s">
        <v>440</v>
      </c>
      <c r="C228" s="383">
        <v>0</v>
      </c>
      <c r="D228" s="384">
        <v>0</v>
      </c>
      <c r="E228" s="385">
        <v>0</v>
      </c>
      <c r="F228" s="384">
        <v>0</v>
      </c>
      <c r="G228" s="384">
        <v>1</v>
      </c>
      <c r="H228" s="384">
        <v>39</v>
      </c>
      <c r="I228" s="384">
        <v>32</v>
      </c>
      <c r="J228" s="384">
        <v>118</v>
      </c>
      <c r="K228" s="384">
        <v>0</v>
      </c>
      <c r="L228" s="384">
        <v>0</v>
      </c>
      <c r="M228" s="410">
        <v>0</v>
      </c>
      <c r="N228" s="410">
        <v>0</v>
      </c>
      <c r="O228" s="410">
        <v>0</v>
      </c>
      <c r="P228" s="410">
        <v>0</v>
      </c>
      <c r="Q228" s="416">
        <f t="shared" si="5"/>
        <v>190</v>
      </c>
      <c r="T228" s="407"/>
      <c r="U228" s="406"/>
      <c r="V228" s="406"/>
    </row>
    <row r="229" spans="1:31">
      <c r="B229" s="379" t="s">
        <v>441</v>
      </c>
      <c r="C229" s="386">
        <v>0</v>
      </c>
      <c r="D229" s="387">
        <v>0</v>
      </c>
      <c r="E229" s="388">
        <v>0</v>
      </c>
      <c r="F229" s="387">
        <v>0</v>
      </c>
      <c r="G229" s="387">
        <v>0</v>
      </c>
      <c r="H229" s="387">
        <v>10</v>
      </c>
      <c r="I229" s="387">
        <v>80</v>
      </c>
      <c r="J229" s="387">
        <v>178</v>
      </c>
      <c r="K229" s="387">
        <v>0</v>
      </c>
      <c r="L229" s="387">
        <v>0</v>
      </c>
      <c r="M229" s="411">
        <v>0</v>
      </c>
      <c r="N229" s="411">
        <v>0</v>
      </c>
      <c r="O229" s="411">
        <v>0</v>
      </c>
      <c r="P229" s="411">
        <v>0</v>
      </c>
      <c r="Q229" s="417">
        <f t="shared" si="5"/>
        <v>268</v>
      </c>
      <c r="T229" s="407"/>
      <c r="U229" s="406"/>
      <c r="V229" s="406"/>
    </row>
    <row r="230" spans="1:31">
      <c r="B230" s="389" t="s">
        <v>437</v>
      </c>
      <c r="C230" s="390">
        <v>0</v>
      </c>
      <c r="D230" s="391">
        <f t="shared" ref="D230:Q230" si="6">D226+D227+D228+D229</f>
        <v>0</v>
      </c>
      <c r="E230" s="392">
        <f t="shared" si="6"/>
        <v>0</v>
      </c>
      <c r="F230" s="392">
        <f t="shared" si="6"/>
        <v>0</v>
      </c>
      <c r="G230" s="391">
        <f t="shared" si="6"/>
        <v>1</v>
      </c>
      <c r="H230" s="391">
        <f t="shared" si="6"/>
        <v>58</v>
      </c>
      <c r="I230" s="391">
        <f t="shared" si="6"/>
        <v>133</v>
      </c>
      <c r="J230" s="391">
        <f t="shared" si="6"/>
        <v>541</v>
      </c>
      <c r="K230" s="391">
        <f t="shared" si="6"/>
        <v>0</v>
      </c>
      <c r="L230" s="391">
        <f t="shared" si="6"/>
        <v>0</v>
      </c>
      <c r="M230" s="391">
        <f t="shared" si="6"/>
        <v>0</v>
      </c>
      <c r="N230" s="391">
        <f t="shared" si="6"/>
        <v>0</v>
      </c>
      <c r="O230" s="391">
        <f t="shared" si="6"/>
        <v>0</v>
      </c>
      <c r="P230" s="391">
        <f t="shared" si="6"/>
        <v>0</v>
      </c>
      <c r="Q230" s="418">
        <f t="shared" si="6"/>
        <v>734</v>
      </c>
      <c r="T230" s="407"/>
      <c r="U230" s="406"/>
      <c r="V230" s="406"/>
    </row>
    <row r="231" spans="1:31">
      <c r="T231" s="407"/>
      <c r="U231" s="406"/>
      <c r="V231" s="406"/>
    </row>
    <row r="232" spans="1:31">
      <c r="B232" s="18" t="s">
        <v>442</v>
      </c>
      <c r="T232" s="407"/>
      <c r="U232" s="406"/>
      <c r="V232" s="406"/>
    </row>
    <row r="233" spans="1:31">
      <c r="B233" s="18" t="s">
        <v>443</v>
      </c>
      <c r="C233" s="393"/>
      <c r="T233" s="407"/>
      <c r="U233" s="406"/>
      <c r="V233" s="406"/>
    </row>
    <row r="234" spans="1:31">
      <c r="A234">
        <v>43334</v>
      </c>
      <c r="B234" s="394" t="s">
        <v>139</v>
      </c>
      <c r="C234" s="395">
        <v>0</v>
      </c>
      <c r="T234" s="407"/>
      <c r="U234" s="406"/>
      <c r="V234" s="406"/>
    </row>
    <row r="235" spans="1:31">
      <c r="A235">
        <v>43337</v>
      </c>
      <c r="B235" s="396" t="s">
        <v>190</v>
      </c>
      <c r="C235" s="397">
        <v>0</v>
      </c>
    </row>
    <row r="236" spans="1:31">
      <c r="A236">
        <v>43338</v>
      </c>
      <c r="B236" s="396" t="s">
        <v>140</v>
      </c>
      <c r="C236" s="397">
        <v>0</v>
      </c>
    </row>
    <row r="237" spans="1:31">
      <c r="A237">
        <v>43341</v>
      </c>
      <c r="B237" s="396" t="s">
        <v>444</v>
      </c>
      <c r="C237" s="397">
        <v>0</v>
      </c>
    </row>
    <row r="238" spans="1:31" s="98" customFormat="1">
      <c r="A238">
        <v>43302</v>
      </c>
      <c r="B238" s="396" t="s">
        <v>142</v>
      </c>
      <c r="C238" s="397">
        <v>0</v>
      </c>
      <c r="D238" s="77"/>
      <c r="E238" s="77"/>
      <c r="F238" s="77"/>
      <c r="G238" s="77"/>
      <c r="H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>
      <c r="A239">
        <v>43310</v>
      </c>
      <c r="B239" s="396" t="s">
        <v>141</v>
      </c>
      <c r="C239" s="397">
        <v>0</v>
      </c>
    </row>
    <row r="240" spans="1:31">
      <c r="A240">
        <v>43320</v>
      </c>
      <c r="B240" s="396" t="s">
        <v>445</v>
      </c>
      <c r="C240" s="398">
        <v>0</v>
      </c>
    </row>
    <row r="241" spans="1:8" s="98" customFormat="1">
      <c r="A241">
        <v>41170</v>
      </c>
      <c r="B241" s="399" t="s">
        <v>446</v>
      </c>
      <c r="C241" s="400">
        <v>0</v>
      </c>
      <c r="D241" s="77"/>
      <c r="E241" s="77"/>
      <c r="F241" s="77"/>
      <c r="G241" s="77"/>
      <c r="H241" s="77"/>
    </row>
    <row r="244" spans="1:8" s="98" customFormat="1">
      <c r="A244" s="77"/>
      <c r="B244" s="1042" t="s">
        <v>447</v>
      </c>
      <c r="C244" s="1042"/>
      <c r="D244" s="401"/>
      <c r="E244" s="402"/>
      <c r="F244" s="401"/>
      <c r="G244"/>
      <c r="H244"/>
    </row>
    <row r="245" spans="1:8" s="98" customFormat="1">
      <c r="B245" s="401"/>
      <c r="C245" s="401" t="s">
        <v>448</v>
      </c>
      <c r="D245" s="401" t="s">
        <v>449</v>
      </c>
      <c r="E245" s="402" t="s">
        <v>450</v>
      </c>
      <c r="F245" s="401" t="s">
        <v>451</v>
      </c>
      <c r="G245"/>
      <c r="H245"/>
    </row>
    <row r="246" spans="1:8" s="98" customFormat="1">
      <c r="B246" s="401" t="s">
        <v>452</v>
      </c>
      <c r="C246" s="403">
        <v>6</v>
      </c>
      <c r="D246" s="403">
        <v>5</v>
      </c>
      <c r="E246" s="404">
        <v>6</v>
      </c>
      <c r="F246" s="405">
        <v>5</v>
      </c>
      <c r="G246"/>
      <c r="H246"/>
    </row>
    <row r="247" spans="1:8" s="98" customFormat="1">
      <c r="B247" s="24"/>
      <c r="C247" s="401" t="s">
        <v>453</v>
      </c>
      <c r="D247" s="401" t="s">
        <v>454</v>
      </c>
      <c r="E247" s="402" t="s">
        <v>455</v>
      </c>
      <c r="F247" s="402" t="s">
        <v>456</v>
      </c>
      <c r="G247" s="401" t="s">
        <v>457</v>
      </c>
      <c r="H247" s="401" t="s">
        <v>458</v>
      </c>
    </row>
    <row r="248" spans="1:8" s="98" customFormat="1">
      <c r="B248" s="401" t="s">
        <v>459</v>
      </c>
      <c r="C248" s="403">
        <v>12</v>
      </c>
      <c r="D248" s="403">
        <v>2</v>
      </c>
      <c r="E248" s="403">
        <v>12</v>
      </c>
      <c r="F248" s="404">
        <v>2</v>
      </c>
      <c r="G248" s="405">
        <v>12</v>
      </c>
      <c r="H248" s="405">
        <v>2</v>
      </c>
    </row>
  </sheetData>
  <mergeCells count="1021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N210:S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7" priority="21" operator="lessThan">
      <formula>1</formula>
    </cfRule>
  </conditionalFormatting>
  <conditionalFormatting sqref="M7:M13">
    <cfRule type="cellIs" dxfId="6" priority="1" operator="equal">
      <formula>"No"</formula>
    </cfRule>
    <cfRule type="cellIs" dxfId="5" priority="2" operator="equal">
      <formula>"Yes"</formula>
    </cfRule>
    <cfRule type="containsText" dxfId="4" priority="3" operator="containsText" text="Yes">
      <formula>NOT(ISERROR(SEARCH("Yes",M7)))</formula>
    </cfRule>
    <cfRule type="containsText" dxfId="3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topLeftCell="A16" zoomScale="70" zoomScaleNormal="70" workbookViewId="0">
      <selection activeCell="B54" sqref="B54"/>
    </sheetView>
  </sheetViews>
  <sheetFormatPr defaultColWidth="9" defaultRowHeight="14.5"/>
  <cols>
    <col min="1" max="1" width="19.453125" customWidth="1"/>
    <col min="2" max="2" width="41.08984375" customWidth="1"/>
    <col min="3" max="3" width="38.90625" customWidth="1"/>
    <col min="4" max="4" width="41.6328125" customWidth="1"/>
    <col min="5" max="6" width="41.08984375" customWidth="1"/>
    <col min="7" max="7" width="56.6328125" customWidth="1"/>
  </cols>
  <sheetData>
    <row r="1" spans="1:7" ht="21">
      <c r="A1" s="1056" t="s">
        <v>460</v>
      </c>
      <c r="B1" s="1057"/>
      <c r="C1" s="1057"/>
      <c r="D1" s="1057"/>
      <c r="E1" s="1057"/>
      <c r="F1" s="1058"/>
      <c r="G1" s="172" t="s">
        <v>461</v>
      </c>
    </row>
    <row r="2" spans="1:7" s="170" customFormat="1" ht="18.5">
      <c r="A2" s="173"/>
      <c r="B2" s="174" t="s">
        <v>1</v>
      </c>
      <c r="C2" s="175">
        <v>46069</v>
      </c>
      <c r="D2" s="176" t="s">
        <v>283</v>
      </c>
      <c r="E2" s="177">
        <v>46075</v>
      </c>
      <c r="F2" s="178"/>
      <c r="G2" s="179" t="s">
        <v>462</v>
      </c>
    </row>
    <row r="3" spans="1:7" ht="15.75" customHeight="1">
      <c r="A3" s="180"/>
      <c r="B3" s="181"/>
      <c r="C3" s="77"/>
      <c r="D3" s="77"/>
      <c r="E3" s="77"/>
      <c r="F3" s="182"/>
      <c r="G3" s="179" t="s">
        <v>463</v>
      </c>
    </row>
    <row r="4" spans="1:7" ht="18.5">
      <c r="A4" s="183"/>
      <c r="B4" s="184">
        <v>46069</v>
      </c>
      <c r="C4" s="184">
        <v>46070</v>
      </c>
      <c r="D4" s="184">
        <v>46071</v>
      </c>
      <c r="E4" s="184">
        <v>46072</v>
      </c>
      <c r="F4" s="184">
        <v>46073</v>
      </c>
      <c r="G4" s="185" t="s">
        <v>464</v>
      </c>
    </row>
    <row r="5" spans="1:7" ht="18.5">
      <c r="A5" s="186" t="s">
        <v>465</v>
      </c>
      <c r="B5" s="187" t="s">
        <v>5</v>
      </c>
      <c r="C5" s="188" t="s">
        <v>6</v>
      </c>
      <c r="D5" s="189" t="s">
        <v>7</v>
      </c>
      <c r="E5" s="189" t="s">
        <v>8</v>
      </c>
      <c r="F5" s="190" t="s">
        <v>9</v>
      </c>
      <c r="G5" s="191" t="s">
        <v>466</v>
      </c>
    </row>
    <row r="6" spans="1:7" ht="15" customHeight="1">
      <c r="A6" s="1063" t="s">
        <v>284</v>
      </c>
      <c r="B6" s="192"/>
      <c r="C6" s="193" t="s">
        <v>331</v>
      </c>
      <c r="D6" s="193"/>
      <c r="E6" s="194"/>
      <c r="F6" s="195"/>
    </row>
    <row r="7" spans="1:7" ht="15" customHeight="1">
      <c r="A7" s="1063"/>
      <c r="B7" s="196"/>
      <c r="C7" s="197" t="s">
        <v>467</v>
      </c>
      <c r="D7" s="197"/>
      <c r="E7" s="198"/>
      <c r="F7" s="199"/>
      <c r="G7" s="161"/>
    </row>
    <row r="8" spans="1:7" ht="15" customHeight="1">
      <c r="A8" s="1063"/>
      <c r="B8" s="200"/>
      <c r="C8" s="201"/>
      <c r="D8" s="202"/>
      <c r="E8" s="203"/>
      <c r="F8" s="204"/>
      <c r="G8" s="205" t="s">
        <v>468</v>
      </c>
    </row>
    <row r="9" spans="1:7" ht="15" customHeight="1">
      <c r="A9" s="1063"/>
      <c r="B9" s="200"/>
      <c r="C9" s="206"/>
      <c r="D9" s="197"/>
      <c r="E9" s="203"/>
      <c r="F9" s="204"/>
    </row>
    <row r="10" spans="1:7" ht="15" customHeight="1">
      <c r="A10" s="1063"/>
      <c r="B10" s="200"/>
      <c r="C10" s="197"/>
      <c r="D10" s="197"/>
      <c r="E10" s="207"/>
      <c r="F10" s="204"/>
      <c r="G10" s="208"/>
    </row>
    <row r="11" spans="1:7">
      <c r="A11" s="1063"/>
      <c r="B11" s="209"/>
      <c r="C11" s="210"/>
      <c r="D11" s="210"/>
      <c r="E11" s="211"/>
      <c r="F11" s="212"/>
      <c r="G11" s="161"/>
    </row>
    <row r="12" spans="1:7">
      <c r="A12" s="1063"/>
      <c r="B12" s="213"/>
      <c r="C12" s="214"/>
      <c r="D12" s="215"/>
      <c r="E12" s="216"/>
      <c r="F12" s="217"/>
    </row>
    <row r="13" spans="1:7">
      <c r="A13" s="1064" t="s">
        <v>469</v>
      </c>
      <c r="B13" s="218"/>
      <c r="C13" s="219"/>
      <c r="D13" s="218" t="s">
        <v>470</v>
      </c>
      <c r="E13" s="220"/>
      <c r="F13" s="221"/>
    </row>
    <row r="14" spans="1:7">
      <c r="A14" s="1063"/>
      <c r="B14" s="197"/>
      <c r="C14" s="222"/>
      <c r="D14" s="196" t="s">
        <v>471</v>
      </c>
      <c r="E14" s="223"/>
      <c r="F14" s="224"/>
    </row>
    <row r="15" spans="1:7">
      <c r="A15" s="1063"/>
      <c r="B15" s="196"/>
      <c r="C15" s="201"/>
      <c r="D15" s="197"/>
      <c r="E15" s="225"/>
      <c r="F15" s="224"/>
      <c r="G15" s="205" t="s">
        <v>472</v>
      </c>
    </row>
    <row r="16" spans="1:7">
      <c r="A16" s="1063"/>
      <c r="B16" s="226"/>
      <c r="C16" s="197"/>
      <c r="D16" s="227"/>
      <c r="E16" s="223"/>
      <c r="F16" s="224"/>
    </row>
    <row r="17" spans="1:9">
      <c r="A17" s="1063"/>
      <c r="B17" s="196"/>
      <c r="C17" s="227"/>
      <c r="D17" s="197"/>
      <c r="E17" s="228"/>
      <c r="F17" s="229"/>
      <c r="G17" s="208"/>
    </row>
    <row r="18" spans="1:9">
      <c r="A18" s="1063"/>
      <c r="B18" s="209"/>
      <c r="C18" s="210"/>
      <c r="D18" s="210"/>
      <c r="E18" s="211"/>
      <c r="F18" s="212"/>
      <c r="G18" s="161"/>
    </row>
    <row r="19" spans="1:9">
      <c r="A19" s="1063"/>
      <c r="B19" s="213"/>
      <c r="C19" s="215"/>
      <c r="D19" s="230"/>
      <c r="E19" s="216"/>
      <c r="F19" s="217"/>
      <c r="G19" s="208"/>
    </row>
    <row r="20" spans="1:9" s="171" customFormat="1">
      <c r="A20" s="1064" t="s">
        <v>18</v>
      </c>
      <c r="B20" s="231"/>
      <c r="C20" s="232" t="s">
        <v>357</v>
      </c>
      <c r="D20" s="233" t="s">
        <v>359</v>
      </c>
      <c r="E20" s="233"/>
      <c r="F20" s="234"/>
      <c r="G20"/>
      <c r="H20"/>
      <c r="I20"/>
    </row>
    <row r="21" spans="1:9" s="171" customFormat="1">
      <c r="A21" s="1063"/>
      <c r="B21" s="196"/>
      <c r="C21" s="227" t="s">
        <v>473</v>
      </c>
      <c r="D21" s="197" t="s">
        <v>474</v>
      </c>
      <c r="E21" s="197"/>
      <c r="F21" s="224"/>
      <c r="G21"/>
      <c r="H21"/>
      <c r="I21"/>
    </row>
    <row r="22" spans="1:9" s="171" customFormat="1">
      <c r="A22" s="1063"/>
      <c r="B22" s="196"/>
      <c r="C22" s="210" t="s">
        <v>475</v>
      </c>
      <c r="D22" s="210" t="s">
        <v>476</v>
      </c>
      <c r="E22" s="197"/>
      <c r="F22" s="224"/>
      <c r="G22"/>
      <c r="H22"/>
      <c r="I22"/>
    </row>
    <row r="23" spans="1:9" s="171" customFormat="1">
      <c r="A23" s="1063"/>
      <c r="B23" s="209"/>
      <c r="C23" s="235"/>
      <c r="D23" s="235"/>
      <c r="E23" s="210"/>
      <c r="F23" s="212"/>
      <c r="G23"/>
      <c r="H23"/>
      <c r="I23"/>
    </row>
    <row r="24" spans="1:9" s="171" customFormat="1">
      <c r="A24" s="1063"/>
      <c r="B24" s="209"/>
      <c r="C24" s="235"/>
      <c r="D24" s="235"/>
      <c r="E24" s="210"/>
      <c r="F24" s="212"/>
      <c r="G24"/>
      <c r="H24" s="236"/>
      <c r="I24"/>
    </row>
    <row r="25" spans="1:9" s="171" customFormat="1">
      <c r="A25" s="1063"/>
      <c r="B25" s="237"/>
      <c r="C25" s="235"/>
      <c r="D25" s="210"/>
      <c r="E25" s="238"/>
      <c r="F25" s="239"/>
      <c r="G25"/>
      <c r="H25"/>
      <c r="I25"/>
    </row>
    <row r="26" spans="1:9" s="171" customFormat="1">
      <c r="A26" s="1065"/>
      <c r="B26" s="213"/>
      <c r="C26" s="240"/>
      <c r="D26" s="215"/>
      <c r="E26" s="215"/>
      <c r="F26" s="241"/>
      <c r="G26"/>
      <c r="H26"/>
      <c r="I26"/>
    </row>
    <row r="27" spans="1:9" s="171" customFormat="1">
      <c r="A27" s="1064" t="s">
        <v>24</v>
      </c>
      <c r="B27" s="242" t="s">
        <v>356</v>
      </c>
      <c r="C27" s="243"/>
      <c r="D27" s="244"/>
      <c r="E27" s="244" t="s">
        <v>26</v>
      </c>
      <c r="F27" s="245" t="s">
        <v>477</v>
      </c>
      <c r="G27"/>
      <c r="H27"/>
      <c r="I27"/>
    </row>
    <row r="28" spans="1:9" s="171" customFormat="1">
      <c r="A28" s="1063"/>
      <c r="B28" s="226" t="s">
        <v>478</v>
      </c>
      <c r="C28" s="246"/>
      <c r="D28" s="197"/>
      <c r="E28" s="197" t="s">
        <v>479</v>
      </c>
      <c r="F28" s="247" t="s">
        <v>480</v>
      </c>
      <c r="G28"/>
      <c r="H28"/>
      <c r="I28"/>
    </row>
    <row r="29" spans="1:9" s="171" customFormat="1">
      <c r="A29" s="1063"/>
      <c r="B29" s="248" t="s">
        <v>481</v>
      </c>
      <c r="C29" s="197"/>
      <c r="D29" s="210"/>
      <c r="E29" s="210" t="s">
        <v>482</v>
      </c>
      <c r="F29" s="224" t="s">
        <v>483</v>
      </c>
      <c r="G29"/>
      <c r="H29"/>
      <c r="I29"/>
    </row>
    <row r="30" spans="1:9" s="171" customFormat="1">
      <c r="A30" s="1063"/>
      <c r="B30" s="249"/>
      <c r="C30" s="210"/>
      <c r="D30" s="210"/>
      <c r="E30" s="235"/>
      <c r="F30" s="250"/>
      <c r="G30"/>
      <c r="H30"/>
      <c r="I30"/>
    </row>
    <row r="31" spans="1:9" s="171" customFormat="1">
      <c r="A31" s="1063"/>
      <c r="B31" s="251"/>
      <c r="C31" s="210"/>
      <c r="D31" s="210"/>
      <c r="E31" s="235"/>
      <c r="F31" s="212"/>
      <c r="G31"/>
      <c r="H31"/>
      <c r="I31"/>
    </row>
    <row r="32" spans="1:9" s="171" customFormat="1">
      <c r="A32" s="1063"/>
      <c r="B32" s="235"/>
      <c r="C32" s="210"/>
      <c r="D32" s="210"/>
      <c r="E32" s="210"/>
      <c r="F32" s="212"/>
      <c r="G32" s="161"/>
      <c r="H32"/>
      <c r="I32"/>
    </row>
    <row r="33" spans="1:9" s="171" customFormat="1">
      <c r="A33" s="1063"/>
      <c r="B33" s="252"/>
      <c r="C33" s="230"/>
      <c r="D33" s="230"/>
      <c r="E33" s="215"/>
      <c r="F33" s="241"/>
      <c r="G33"/>
      <c r="H33"/>
      <c r="I33"/>
    </row>
    <row r="34" spans="1:9" ht="15" customHeight="1">
      <c r="A34" s="1064" t="s">
        <v>30</v>
      </c>
      <c r="B34" s="253" t="s">
        <v>352</v>
      </c>
      <c r="C34" s="254"/>
      <c r="D34" s="254"/>
      <c r="E34" s="255" t="s">
        <v>484</v>
      </c>
      <c r="F34" s="221"/>
    </row>
    <row r="35" spans="1:9">
      <c r="A35" s="1063"/>
      <c r="B35" s="256" t="s">
        <v>485</v>
      </c>
      <c r="C35" s="257"/>
      <c r="D35" s="257"/>
      <c r="E35" s="258" t="s">
        <v>486</v>
      </c>
      <c r="F35" s="199"/>
    </row>
    <row r="36" spans="1:9">
      <c r="A36" s="1063"/>
      <c r="B36" s="256"/>
      <c r="C36" s="259"/>
      <c r="D36" s="259"/>
      <c r="E36" s="260"/>
      <c r="F36" s="261"/>
      <c r="G36" s="205" t="s">
        <v>487</v>
      </c>
    </row>
    <row r="37" spans="1:9">
      <c r="A37" s="1063"/>
      <c r="B37" s="262"/>
      <c r="C37" s="263"/>
      <c r="D37" s="263"/>
      <c r="E37" s="264"/>
      <c r="F37" s="261"/>
    </row>
    <row r="38" spans="1:9">
      <c r="A38" s="1063"/>
      <c r="B38" s="265"/>
      <c r="C38" s="266"/>
      <c r="D38" s="197"/>
      <c r="E38" s="223"/>
      <c r="F38" s="224"/>
    </row>
    <row r="39" spans="1:9">
      <c r="A39" s="1063"/>
      <c r="B39" s="267"/>
      <c r="C39" s="268"/>
      <c r="D39" s="269"/>
      <c r="E39" s="270"/>
      <c r="F39" s="271"/>
    </row>
    <row r="40" spans="1:9">
      <c r="A40" s="1064" t="s">
        <v>488</v>
      </c>
      <c r="B40" s="272"/>
      <c r="C40" s="273"/>
      <c r="D40" s="272"/>
      <c r="E40" s="273"/>
      <c r="F40" s="221"/>
    </row>
    <row r="41" spans="1:9">
      <c r="A41" s="1063"/>
      <c r="B41" s="209"/>
      <c r="C41" s="222"/>
      <c r="D41" s="197"/>
      <c r="E41" s="228"/>
      <c r="F41" s="229"/>
      <c r="G41" s="161"/>
    </row>
    <row r="42" spans="1:9">
      <c r="A42" s="1063"/>
      <c r="B42" s="196"/>
      <c r="C42" s="227"/>
      <c r="D42" s="274"/>
      <c r="E42" s="275"/>
      <c r="F42" s="229"/>
    </row>
    <row r="43" spans="1:9" ht="15" customHeight="1">
      <c r="A43" s="1063"/>
      <c r="B43" s="276"/>
      <c r="C43" s="277"/>
      <c r="D43" s="227"/>
      <c r="E43" s="228"/>
      <c r="F43" s="229"/>
    </row>
    <row r="44" spans="1:9">
      <c r="A44" s="1063"/>
      <c r="B44" s="278"/>
      <c r="C44" s="279"/>
      <c r="D44" s="280"/>
      <c r="E44" s="281"/>
      <c r="F44" s="282"/>
    </row>
    <row r="45" spans="1:9">
      <c r="A45" s="1064" t="s">
        <v>489</v>
      </c>
      <c r="B45" s="272"/>
      <c r="C45" s="283"/>
      <c r="D45" s="220"/>
      <c r="E45" s="220"/>
      <c r="F45" s="221"/>
    </row>
    <row r="46" spans="1:9">
      <c r="A46" s="1063"/>
      <c r="B46" s="226"/>
      <c r="C46" s="227"/>
      <c r="D46" s="227"/>
      <c r="E46" s="284"/>
      <c r="F46" s="285"/>
    </row>
    <row r="47" spans="1:9">
      <c r="A47" s="1063"/>
      <c r="B47" s="196"/>
      <c r="C47" s="197"/>
      <c r="D47" s="197"/>
      <c r="E47" s="223"/>
      <c r="F47" s="224"/>
      <c r="G47" s="161"/>
    </row>
    <row r="48" spans="1:9">
      <c r="A48" s="1063"/>
      <c r="B48" s="196"/>
      <c r="C48" s="197"/>
      <c r="D48" s="197"/>
      <c r="E48" s="223"/>
      <c r="F48" s="224"/>
    </row>
    <row r="49" spans="1:8">
      <c r="A49" s="1063"/>
      <c r="B49" s="286"/>
      <c r="C49" s="287"/>
      <c r="D49" s="287"/>
      <c r="E49" s="270"/>
      <c r="F49" s="271"/>
    </row>
    <row r="50" spans="1:8" s="171" customFormat="1" ht="15" customHeight="1">
      <c r="A50" s="1064" t="s">
        <v>490</v>
      </c>
      <c r="B50" s="272" t="s">
        <v>491</v>
      </c>
      <c r="C50" s="218" t="s">
        <v>492</v>
      </c>
      <c r="D50" s="218" t="s">
        <v>405</v>
      </c>
      <c r="E50" s="220" t="s">
        <v>493</v>
      </c>
      <c r="F50" s="218" t="s">
        <v>494</v>
      </c>
      <c r="G50"/>
    </row>
    <row r="51" spans="1:8" s="171" customFormat="1">
      <c r="A51" s="1063"/>
      <c r="B51" s="226" t="s">
        <v>495</v>
      </c>
      <c r="C51" s="227" t="s">
        <v>496</v>
      </c>
      <c r="D51" s="227" t="s">
        <v>497</v>
      </c>
      <c r="E51" s="228" t="s">
        <v>498</v>
      </c>
      <c r="F51" s="227" t="s">
        <v>499</v>
      </c>
      <c r="G51"/>
    </row>
    <row r="52" spans="1:8" s="171" customFormat="1">
      <c r="A52" s="1063"/>
      <c r="B52" s="288"/>
      <c r="C52" s="289"/>
      <c r="D52" s="289"/>
      <c r="E52" s="225"/>
      <c r="F52" s="290"/>
      <c r="G52" s="205" t="s">
        <v>500</v>
      </c>
      <c r="H52" s="291"/>
    </row>
    <row r="53" spans="1:8" s="171" customFormat="1" ht="15" customHeight="1">
      <c r="A53" s="1063"/>
      <c r="B53" s="292"/>
      <c r="C53" s="206"/>
      <c r="D53" s="289"/>
      <c r="E53" s="225"/>
      <c r="F53" s="290"/>
      <c r="G53"/>
    </row>
    <row r="54" spans="1:8" s="171" customFormat="1">
      <c r="A54" s="1063"/>
      <c r="B54" s="293"/>
      <c r="C54" s="274"/>
      <c r="D54" s="289"/>
      <c r="E54" s="225"/>
      <c r="F54" s="290"/>
      <c r="G54"/>
    </row>
    <row r="55" spans="1:8" s="171" customFormat="1">
      <c r="A55" s="1063"/>
      <c r="B55" s="294"/>
      <c r="C55" s="295"/>
      <c r="D55" s="296"/>
      <c r="E55" s="297"/>
      <c r="F55" s="298"/>
      <c r="G55"/>
    </row>
    <row r="56" spans="1:8" s="171" customFormat="1">
      <c r="A56" s="1063"/>
      <c r="B56" s="218"/>
      <c r="C56" s="283"/>
      <c r="D56" s="218"/>
      <c r="E56" s="220"/>
      <c r="F56" s="299"/>
      <c r="G56"/>
    </row>
    <row r="57" spans="1:8">
      <c r="A57" s="1063"/>
      <c r="B57" s="274"/>
      <c r="C57" s="289"/>
      <c r="D57" s="289"/>
      <c r="E57" s="225"/>
      <c r="F57" s="300"/>
    </row>
    <row r="58" spans="1:8">
      <c r="A58" s="1063"/>
      <c r="B58" s="274"/>
      <c r="C58" s="274"/>
      <c r="D58" s="274"/>
      <c r="E58" s="225"/>
      <c r="F58" s="301"/>
    </row>
    <row r="59" spans="1:8">
      <c r="A59" s="1063"/>
      <c r="B59" s="293"/>
      <c r="C59" s="201"/>
      <c r="D59" s="201"/>
      <c r="E59" s="302"/>
      <c r="F59" s="199"/>
    </row>
    <row r="60" spans="1:8" ht="15" customHeight="1">
      <c r="A60" s="1063"/>
      <c r="B60" s="293"/>
      <c r="C60" s="201"/>
      <c r="D60" s="303"/>
      <c r="E60" s="275"/>
      <c r="F60" s="290"/>
    </row>
    <row r="61" spans="1:8">
      <c r="A61" s="1063"/>
      <c r="B61" s="304"/>
      <c r="C61" s="305"/>
      <c r="D61" s="306"/>
      <c r="E61" s="307"/>
      <c r="F61" s="308"/>
    </row>
    <row r="62" spans="1:8" ht="15" customHeight="1">
      <c r="A62" s="1066" t="s">
        <v>501</v>
      </c>
      <c r="B62" s="1059" t="s">
        <v>502</v>
      </c>
      <c r="C62" s="1060"/>
      <c r="D62" s="1061" t="s">
        <v>503</v>
      </c>
      <c r="E62" s="1062"/>
      <c r="F62" s="309" t="s">
        <v>504</v>
      </c>
    </row>
    <row r="63" spans="1:8" ht="15" customHeight="1">
      <c r="A63" s="1067"/>
      <c r="B63" s="310"/>
      <c r="C63" s="311"/>
      <c r="D63" s="206"/>
      <c r="E63" s="312"/>
      <c r="F63" s="312"/>
    </row>
    <row r="64" spans="1:8">
      <c r="A64" s="1067"/>
      <c r="B64" s="313"/>
      <c r="C64" s="314"/>
      <c r="D64" s="315"/>
      <c r="E64" s="311"/>
      <c r="F64" s="312"/>
    </row>
    <row r="65" spans="1:6">
      <c r="A65" s="1067"/>
      <c r="B65" s="311"/>
      <c r="C65" s="316"/>
      <c r="D65" s="317"/>
      <c r="E65" s="310"/>
      <c r="F65" s="311"/>
    </row>
    <row r="66" spans="1:6">
      <c r="A66" s="1067"/>
      <c r="B66" s="292"/>
      <c r="C66" s="313"/>
      <c r="D66" s="318"/>
      <c r="E66" s="310"/>
      <c r="F66" s="206"/>
    </row>
    <row r="67" spans="1:6">
      <c r="A67" s="1067"/>
      <c r="B67" s="206"/>
      <c r="C67" s="313"/>
      <c r="D67" s="55"/>
      <c r="E67" s="310"/>
      <c r="F67" s="206"/>
    </row>
    <row r="68" spans="1:6">
      <c r="A68" s="1067"/>
      <c r="B68" s="206"/>
      <c r="C68" s="319"/>
      <c r="D68" s="55"/>
      <c r="E68" s="310"/>
      <c r="F68" s="206"/>
    </row>
    <row r="69" spans="1:6">
      <c r="A69" s="1067"/>
      <c r="B69" s="320"/>
      <c r="C69" s="319"/>
      <c r="D69" s="55"/>
      <c r="E69" s="310"/>
      <c r="F69" s="310"/>
    </row>
    <row r="70" spans="1:6">
      <c r="A70" s="1067"/>
      <c r="B70" s="321"/>
      <c r="C70" s="319"/>
      <c r="D70" s="311"/>
      <c r="E70" s="310"/>
      <c r="F70" s="310"/>
    </row>
    <row r="71" spans="1:6">
      <c r="A71" s="1067"/>
      <c r="B71" s="315"/>
      <c r="C71" s="319"/>
      <c r="D71" s="311"/>
      <c r="E71" s="310"/>
      <c r="F71" s="310"/>
    </row>
    <row r="72" spans="1:6">
      <c r="A72" s="1067"/>
      <c r="B72" s="315"/>
      <c r="C72" s="319"/>
      <c r="D72" s="311"/>
      <c r="E72" s="310"/>
      <c r="F72" s="310"/>
    </row>
    <row r="73" spans="1:6">
      <c r="A73" s="1068"/>
      <c r="B73" s="310"/>
      <c r="C73" s="319"/>
      <c r="D73" s="310"/>
      <c r="E73" s="310"/>
      <c r="F73" s="310"/>
    </row>
    <row r="74" spans="1:6">
      <c r="C74" s="322"/>
    </row>
    <row r="75" spans="1:6">
      <c r="C75" s="322"/>
    </row>
    <row r="76" spans="1:6">
      <c r="C76" s="322"/>
    </row>
    <row r="77" spans="1:6">
      <c r="C77" s="322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1"/>
  <sheetViews>
    <sheetView topLeftCell="A13" workbookViewId="0">
      <selection activeCell="D18" sqref="D18:D22"/>
    </sheetView>
  </sheetViews>
  <sheetFormatPr defaultColWidth="9" defaultRowHeight="14.5"/>
  <cols>
    <col min="2" max="2" width="24.54296875" customWidth="1"/>
    <col min="3" max="3" width="20.453125" customWidth="1"/>
    <col min="4" max="4" width="24.6328125" style="9" customWidth="1"/>
    <col min="5" max="5" width="101" customWidth="1"/>
    <col min="7" max="7" width="20" customWidth="1"/>
  </cols>
  <sheetData>
    <row r="2" spans="1:7">
      <c r="A2" s="1069">
        <v>46054</v>
      </c>
      <c r="B2" s="1070"/>
      <c r="C2" s="1070"/>
      <c r="D2" s="1070"/>
      <c r="E2" s="1070"/>
    </row>
    <row r="3" spans="1:7">
      <c r="A3" s="24" t="s">
        <v>505</v>
      </c>
      <c r="B3" s="24" t="s">
        <v>70</v>
      </c>
      <c r="C3" s="24" t="s">
        <v>506</v>
      </c>
      <c r="D3" s="65" t="s">
        <v>507</v>
      </c>
      <c r="E3" s="162" t="s">
        <v>508</v>
      </c>
    </row>
    <row r="4" spans="1:7">
      <c r="A4" s="1073" t="s">
        <v>509</v>
      </c>
      <c r="B4" s="24" t="s">
        <v>510</v>
      </c>
      <c r="C4" s="24" t="s">
        <v>511</v>
      </c>
      <c r="D4" s="65">
        <v>354.8</v>
      </c>
      <c r="E4" s="163"/>
    </row>
    <row r="5" spans="1:7">
      <c r="A5" s="1073"/>
      <c r="B5" s="24" t="s">
        <v>510</v>
      </c>
      <c r="C5" s="24" t="s">
        <v>512</v>
      </c>
      <c r="D5" s="65">
        <v>81.3</v>
      </c>
      <c r="E5" s="163"/>
    </row>
    <row r="6" spans="1:7">
      <c r="A6" s="1073"/>
      <c r="B6" s="24" t="s">
        <v>510</v>
      </c>
      <c r="C6" s="24"/>
      <c r="D6" s="65"/>
      <c r="E6" s="163"/>
    </row>
    <row r="7" spans="1:7">
      <c r="A7" s="1073"/>
      <c r="B7" s="24" t="s">
        <v>510</v>
      </c>
      <c r="C7" s="24"/>
      <c r="D7" s="65"/>
      <c r="E7" s="163"/>
    </row>
    <row r="8" spans="1:7">
      <c r="A8" s="1073"/>
      <c r="B8" s="24" t="s">
        <v>510</v>
      </c>
      <c r="C8" s="24"/>
      <c r="D8" s="65"/>
      <c r="E8" s="163"/>
    </row>
    <row r="9" spans="1:7">
      <c r="A9" s="1073"/>
      <c r="B9" s="24" t="s">
        <v>510</v>
      </c>
      <c r="C9" s="24"/>
      <c r="D9" s="65"/>
      <c r="E9" s="163"/>
    </row>
    <row r="10" spans="1:7">
      <c r="A10" s="1073"/>
      <c r="B10" s="24" t="s">
        <v>510</v>
      </c>
      <c r="C10" s="24"/>
      <c r="D10" s="65"/>
      <c r="E10" s="163"/>
      <c r="F10" s="164">
        <f>SUM(D4:D10)</f>
        <v>436.1</v>
      </c>
      <c r="G10" t="s">
        <v>513</v>
      </c>
    </row>
    <row r="11" spans="1:7">
      <c r="A11" s="165"/>
      <c r="B11" s="165"/>
      <c r="C11" s="165"/>
      <c r="D11" s="166"/>
      <c r="E11" s="162"/>
    </row>
    <row r="12" spans="1:7">
      <c r="A12" s="1073" t="s">
        <v>514</v>
      </c>
      <c r="B12" s="24" t="s">
        <v>515</v>
      </c>
      <c r="C12" s="24" t="s">
        <v>516</v>
      </c>
      <c r="D12" s="65">
        <v>167.7</v>
      </c>
      <c r="E12" s="167"/>
    </row>
    <row r="13" spans="1:7">
      <c r="A13" s="1073"/>
      <c r="B13" s="24" t="s">
        <v>515</v>
      </c>
      <c r="C13" s="24" t="s">
        <v>517</v>
      </c>
      <c r="D13" s="65">
        <v>282.10000000000002</v>
      </c>
      <c r="E13" s="167"/>
    </row>
    <row r="14" spans="1:7">
      <c r="A14" s="1073"/>
      <c r="B14" s="24" t="s">
        <v>515</v>
      </c>
      <c r="C14" s="24" t="s">
        <v>518</v>
      </c>
      <c r="D14" s="65">
        <v>45.7</v>
      </c>
      <c r="E14" s="24"/>
    </row>
    <row r="15" spans="1:7">
      <c r="A15" s="1073"/>
      <c r="B15" s="24" t="s">
        <v>515</v>
      </c>
      <c r="C15" s="24" t="s">
        <v>484</v>
      </c>
      <c r="D15" s="65">
        <v>5.5</v>
      </c>
      <c r="E15" s="24"/>
    </row>
    <row r="16" spans="1:7">
      <c r="A16" s="1073"/>
      <c r="B16" s="24" t="s">
        <v>515</v>
      </c>
      <c r="C16" s="24" t="s">
        <v>394</v>
      </c>
      <c r="D16" s="65">
        <v>35.1</v>
      </c>
      <c r="E16" s="24"/>
    </row>
    <row r="17" spans="1:7">
      <c r="A17" s="1073"/>
      <c r="B17" s="24" t="s">
        <v>515</v>
      </c>
      <c r="C17" s="24" t="s">
        <v>331</v>
      </c>
      <c r="D17" s="65">
        <v>8.6</v>
      </c>
      <c r="E17" s="24"/>
    </row>
    <row r="18" spans="1:7">
      <c r="A18" s="1073"/>
      <c r="B18" s="24" t="s">
        <v>515</v>
      </c>
      <c r="C18" s="24"/>
      <c r="D18" s="65"/>
      <c r="E18" s="24"/>
    </row>
    <row r="19" spans="1:7">
      <c r="A19" s="1073"/>
      <c r="B19" s="24" t="s">
        <v>515</v>
      </c>
      <c r="C19" s="24"/>
      <c r="D19" s="65"/>
      <c r="E19" s="24"/>
      <c r="F19" s="33"/>
    </row>
    <row r="20" spans="1:7">
      <c r="A20" s="1073"/>
      <c r="B20" s="24" t="s">
        <v>515</v>
      </c>
      <c r="C20" s="24"/>
      <c r="D20" s="65"/>
      <c r="E20" s="24"/>
      <c r="F20" s="33"/>
    </row>
    <row r="21" spans="1:7">
      <c r="A21" s="1073"/>
      <c r="B21" s="24" t="s">
        <v>515</v>
      </c>
      <c r="C21" s="24"/>
      <c r="D21" s="65"/>
      <c r="E21" s="24"/>
      <c r="F21" s="33"/>
    </row>
    <row r="22" spans="1:7">
      <c r="A22" s="1073"/>
      <c r="B22" s="24" t="s">
        <v>515</v>
      </c>
      <c r="C22" s="24"/>
      <c r="D22" s="65"/>
      <c r="E22" s="24"/>
      <c r="F22" s="164">
        <f>SUM(D12:D22)</f>
        <v>544.70000000000005</v>
      </c>
      <c r="G22" t="s">
        <v>513</v>
      </c>
    </row>
    <row r="23" spans="1:7">
      <c r="A23" s="165"/>
      <c r="B23" s="165"/>
      <c r="C23" s="165"/>
      <c r="D23" s="166"/>
      <c r="E23" s="162"/>
    </row>
    <row r="24" spans="1:7">
      <c r="A24" s="1074" t="s">
        <v>519</v>
      </c>
      <c r="B24" s="24" t="s">
        <v>520</v>
      </c>
      <c r="C24" s="24" t="s">
        <v>516</v>
      </c>
      <c r="D24" s="65">
        <v>37.200000000000003</v>
      </c>
      <c r="E24" s="24"/>
    </row>
    <row r="25" spans="1:7">
      <c r="A25" s="1075"/>
      <c r="B25" s="24" t="s">
        <v>520</v>
      </c>
      <c r="C25" s="24" t="s">
        <v>521</v>
      </c>
      <c r="D25" s="65">
        <v>5.3</v>
      </c>
      <c r="E25" s="24"/>
    </row>
    <row r="26" spans="1:7">
      <c r="A26" s="1075"/>
      <c r="B26" s="24" t="s">
        <v>520</v>
      </c>
      <c r="C26" s="24" t="s">
        <v>522</v>
      </c>
      <c r="D26" s="65">
        <v>21.9</v>
      </c>
      <c r="E26" s="24"/>
    </row>
    <row r="27" spans="1:7">
      <c r="A27" s="1075"/>
      <c r="B27" s="24" t="s">
        <v>520</v>
      </c>
      <c r="C27" s="24" t="s">
        <v>523</v>
      </c>
      <c r="D27" s="65">
        <v>73.400000000000006</v>
      </c>
      <c r="E27" s="24"/>
    </row>
    <row r="28" spans="1:7">
      <c r="A28" s="1075"/>
      <c r="B28" s="24" t="s">
        <v>520</v>
      </c>
      <c r="C28" s="24" t="s">
        <v>517</v>
      </c>
      <c r="D28" s="65">
        <v>50.3</v>
      </c>
      <c r="E28" s="24"/>
    </row>
    <row r="29" spans="1:7">
      <c r="A29" s="1075"/>
      <c r="B29" s="24" t="s">
        <v>520</v>
      </c>
      <c r="C29" s="24" t="s">
        <v>512</v>
      </c>
      <c r="D29" s="65">
        <v>2.9</v>
      </c>
      <c r="E29" s="24"/>
    </row>
    <row r="30" spans="1:7">
      <c r="A30" s="1075"/>
      <c r="B30" s="24" t="s">
        <v>520</v>
      </c>
      <c r="C30" s="24" t="s">
        <v>484</v>
      </c>
      <c r="D30" s="65">
        <v>33</v>
      </c>
      <c r="E30" s="24"/>
    </row>
    <row r="31" spans="1:7">
      <c r="A31" s="1075"/>
      <c r="B31" s="24" t="s">
        <v>520</v>
      </c>
      <c r="C31" s="24"/>
      <c r="D31" s="65"/>
      <c r="E31" s="24"/>
    </row>
    <row r="32" spans="1:7">
      <c r="A32" s="1075"/>
      <c r="B32" s="24" t="s">
        <v>520</v>
      </c>
      <c r="C32" s="24"/>
      <c r="D32" s="65"/>
      <c r="E32" s="24"/>
    </row>
    <row r="33" spans="1:7" ht="15.75">
      <c r="A33" s="1075"/>
      <c r="B33" s="24" t="s">
        <v>520</v>
      </c>
      <c r="C33" s="24"/>
      <c r="D33" s="65"/>
      <c r="E33" s="24"/>
      <c r="F33" s="164">
        <f>SUM(D24:D33)</f>
        <v>224</v>
      </c>
      <c r="G33" t="s">
        <v>513</v>
      </c>
    </row>
    <row r="34" spans="1:7" ht="15.75">
      <c r="A34" s="165"/>
      <c r="B34" s="165"/>
      <c r="C34" s="165"/>
      <c r="D34" s="166"/>
      <c r="E34" s="162"/>
    </row>
    <row r="35" spans="1:7">
      <c r="A35" s="1073" t="s">
        <v>524</v>
      </c>
      <c r="B35" s="24" t="s">
        <v>525</v>
      </c>
      <c r="C35" s="24"/>
      <c r="D35" s="65"/>
      <c r="E35" s="24"/>
    </row>
    <row r="36" spans="1:7">
      <c r="A36" s="1073"/>
      <c r="B36" s="24" t="s">
        <v>525</v>
      </c>
      <c r="C36" s="24"/>
      <c r="D36" s="65"/>
      <c r="E36" s="24"/>
    </row>
    <row r="37" spans="1:7">
      <c r="A37" s="1073"/>
      <c r="B37" s="24" t="s">
        <v>525</v>
      </c>
      <c r="C37" s="24"/>
      <c r="D37" s="65"/>
      <c r="E37" s="24"/>
    </row>
    <row r="38" spans="1:7">
      <c r="A38" s="1073"/>
      <c r="B38" s="24" t="s">
        <v>525</v>
      </c>
      <c r="C38" s="24"/>
      <c r="D38" s="65"/>
      <c r="E38" s="24"/>
    </row>
    <row r="39" spans="1:7">
      <c r="A39" s="1073"/>
      <c r="B39" s="24" t="s">
        <v>525</v>
      </c>
      <c r="C39" s="24"/>
      <c r="D39" s="65"/>
      <c r="E39" s="24"/>
    </row>
    <row r="40" spans="1:7">
      <c r="A40" s="1073"/>
      <c r="B40" s="24" t="s">
        <v>525</v>
      </c>
      <c r="C40" s="24"/>
      <c r="D40" s="65"/>
      <c r="E40" s="24"/>
    </row>
    <row r="41" spans="1:7">
      <c r="A41" s="1073"/>
      <c r="B41" s="24" t="s">
        <v>525</v>
      </c>
      <c r="C41" s="24"/>
      <c r="D41" s="65"/>
      <c r="E41" s="24"/>
    </row>
    <row r="42" spans="1:7">
      <c r="A42" s="1073"/>
      <c r="B42" s="24" t="s">
        <v>525</v>
      </c>
      <c r="C42" s="24"/>
      <c r="D42" s="65"/>
      <c r="E42" s="24"/>
    </row>
    <row r="43" spans="1:7">
      <c r="A43" s="1073"/>
      <c r="B43" s="24" t="s">
        <v>525</v>
      </c>
      <c r="C43" s="24"/>
      <c r="D43" s="65"/>
      <c r="E43" s="24"/>
    </row>
    <row r="44" spans="1:7">
      <c r="A44" s="1073"/>
      <c r="B44" s="24" t="s">
        <v>525</v>
      </c>
      <c r="C44" s="24"/>
      <c r="D44" s="65"/>
      <c r="E44" s="24"/>
      <c r="F44" s="168"/>
    </row>
    <row r="45" spans="1:7">
      <c r="A45" s="1073"/>
      <c r="B45" s="24" t="s">
        <v>525</v>
      </c>
      <c r="C45" s="24"/>
      <c r="D45" s="65"/>
      <c r="E45" s="24"/>
      <c r="F45" s="168"/>
    </row>
    <row r="46" spans="1:7">
      <c r="A46" s="1073"/>
      <c r="B46" s="24" t="s">
        <v>525</v>
      </c>
      <c r="C46" s="24"/>
      <c r="D46" s="65"/>
      <c r="E46" s="24"/>
      <c r="F46" s="168"/>
    </row>
    <row r="47" spans="1:7">
      <c r="A47" s="1073"/>
      <c r="B47" s="24" t="s">
        <v>525</v>
      </c>
      <c r="C47" s="24"/>
      <c r="D47" s="65"/>
      <c r="E47" s="24"/>
      <c r="F47" s="168"/>
    </row>
    <row r="48" spans="1:7">
      <c r="A48" s="1073"/>
      <c r="B48" s="24" t="s">
        <v>525</v>
      </c>
      <c r="C48" s="24"/>
      <c r="D48" s="65"/>
      <c r="E48" s="24"/>
      <c r="F48" s="168">
        <f>SUM(D35:D48)</f>
        <v>0</v>
      </c>
      <c r="G48" t="s">
        <v>513</v>
      </c>
    </row>
    <row r="49" spans="1:5">
      <c r="A49" s="165"/>
      <c r="B49" s="165"/>
      <c r="C49" s="165"/>
      <c r="D49" s="166"/>
      <c r="E49" s="162"/>
    </row>
    <row r="50" spans="1:5" ht="15.75">
      <c r="B50" s="1071" t="s">
        <v>526</v>
      </c>
      <c r="C50" s="1072"/>
      <c r="D50" s="169">
        <f>SUM(D4:D49)</f>
        <v>1204.8</v>
      </c>
      <c r="E50" s="24"/>
    </row>
    <row r="51" spans="1:5" ht="15.75"/>
  </sheetData>
  <mergeCells count="6">
    <mergeCell ref="A2:E2"/>
    <mergeCell ref="B50:C50"/>
    <mergeCell ref="A4:A10"/>
    <mergeCell ref="A12:A22"/>
    <mergeCell ref="A24:A33"/>
    <mergeCell ref="A35:A48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1:H47"/>
  <sheetViews>
    <sheetView workbookViewId="0">
      <selection activeCell="M32" sqref="M32"/>
    </sheetView>
  </sheetViews>
  <sheetFormatPr defaultColWidth="9" defaultRowHeight="14.5"/>
  <cols>
    <col min="1" max="1" width="9" style="9"/>
    <col min="2" max="2" width="18" style="9" customWidth="1"/>
    <col min="3" max="5" width="12.453125" style="9" customWidth="1"/>
    <col min="6" max="8" width="11.1796875" style="9" customWidth="1"/>
    <col min="9" max="16384" width="9" style="9"/>
  </cols>
  <sheetData>
    <row r="1" spans="2:8" ht="17.25" customHeight="1">
      <c r="C1" s="1076" t="s">
        <v>527</v>
      </c>
      <c r="D1" s="1076"/>
      <c r="E1" s="1076"/>
      <c r="F1" s="1076" t="s">
        <v>528</v>
      </c>
      <c r="G1" s="1076"/>
      <c r="H1" s="1076"/>
    </row>
    <row r="2" spans="2:8">
      <c r="B2" s="159" t="s">
        <v>70</v>
      </c>
      <c r="C2" s="159" t="s">
        <v>529</v>
      </c>
      <c r="D2" s="159" t="s">
        <v>530</v>
      </c>
      <c r="E2" s="159" t="s">
        <v>531</v>
      </c>
      <c r="F2" s="159" t="s">
        <v>529</v>
      </c>
      <c r="G2" s="159" t="s">
        <v>530</v>
      </c>
      <c r="H2" s="159" t="s">
        <v>531</v>
      </c>
    </row>
    <row r="3" spans="2:8">
      <c r="B3" s="160" t="s">
        <v>532</v>
      </c>
      <c r="C3" s="9">
        <v>148267</v>
      </c>
      <c r="D3" s="9">
        <v>148267</v>
      </c>
      <c r="E3" s="9">
        <f t="shared" ref="E3:E34" si="0">D3-C3</f>
        <v>0</v>
      </c>
      <c r="G3" s="9">
        <v>42434</v>
      </c>
      <c r="H3" s="9">
        <f t="shared" ref="H3:H34" si="1">G3-F3</f>
        <v>42434</v>
      </c>
    </row>
    <row r="4" spans="2:8">
      <c r="B4" s="160" t="s">
        <v>533</v>
      </c>
      <c r="C4" s="9">
        <f t="shared" ref="C4:C23" si="2">D3</f>
        <v>148267</v>
      </c>
      <c r="D4" s="9">
        <v>148267</v>
      </c>
      <c r="E4" s="9">
        <f t="shared" si="0"/>
        <v>0</v>
      </c>
      <c r="F4" s="9">
        <f t="shared" ref="F4:F34" si="3">G3</f>
        <v>42434</v>
      </c>
      <c r="G4" s="9">
        <v>44248</v>
      </c>
      <c r="H4" s="9">
        <f t="shared" si="1"/>
        <v>1814</v>
      </c>
    </row>
    <row r="5" spans="2:8">
      <c r="B5" s="160" t="s">
        <v>534</v>
      </c>
      <c r="C5" s="9">
        <f t="shared" si="2"/>
        <v>148267</v>
      </c>
      <c r="D5" s="9">
        <v>171167</v>
      </c>
      <c r="E5" s="9">
        <f t="shared" si="0"/>
        <v>22900</v>
      </c>
      <c r="F5" s="9">
        <f t="shared" si="3"/>
        <v>44248</v>
      </c>
      <c r="G5" s="9">
        <v>47832</v>
      </c>
      <c r="H5" s="9">
        <f t="shared" si="1"/>
        <v>3584</v>
      </c>
    </row>
    <row r="6" spans="2:8">
      <c r="B6" s="160" t="s">
        <v>535</v>
      </c>
      <c r="C6" s="9">
        <f t="shared" si="2"/>
        <v>171167</v>
      </c>
      <c r="D6" s="9">
        <v>6974.1</v>
      </c>
      <c r="F6" s="9">
        <f t="shared" si="3"/>
        <v>47832</v>
      </c>
      <c r="G6" s="9">
        <v>50291</v>
      </c>
      <c r="H6" s="9">
        <f t="shared" si="1"/>
        <v>2459</v>
      </c>
    </row>
    <row r="7" spans="2:8">
      <c r="B7" s="160" t="s">
        <v>536</v>
      </c>
      <c r="C7" s="9">
        <f t="shared" si="2"/>
        <v>6974.1</v>
      </c>
      <c r="D7" s="9">
        <v>675855</v>
      </c>
      <c r="F7" s="9">
        <f t="shared" si="3"/>
        <v>50291</v>
      </c>
      <c r="G7" s="9">
        <v>52506</v>
      </c>
      <c r="H7" s="9">
        <f t="shared" si="1"/>
        <v>2215</v>
      </c>
    </row>
    <row r="8" spans="2:8">
      <c r="B8" s="160" t="s">
        <v>537</v>
      </c>
      <c r="C8" s="9">
        <f t="shared" si="2"/>
        <v>675855</v>
      </c>
      <c r="D8" s="9">
        <v>690257</v>
      </c>
      <c r="E8" s="9">
        <f t="shared" si="0"/>
        <v>14402</v>
      </c>
      <c r="F8" s="9">
        <f t="shared" si="3"/>
        <v>52506</v>
      </c>
      <c r="G8" s="9">
        <v>55124</v>
      </c>
      <c r="H8" s="9">
        <f t="shared" si="1"/>
        <v>2618</v>
      </c>
    </row>
    <row r="9" spans="2:8">
      <c r="B9" s="160" t="s">
        <v>538</v>
      </c>
      <c r="C9" s="9">
        <f t="shared" si="2"/>
        <v>690257</v>
      </c>
      <c r="D9" s="9">
        <v>704820</v>
      </c>
      <c r="E9" s="9">
        <f t="shared" si="0"/>
        <v>14563</v>
      </c>
      <c r="F9" s="9">
        <f t="shared" si="3"/>
        <v>55124</v>
      </c>
      <c r="G9" s="9">
        <v>55279</v>
      </c>
      <c r="H9" s="9">
        <f t="shared" si="1"/>
        <v>155</v>
      </c>
    </row>
    <row r="10" spans="2:8">
      <c r="B10" s="160" t="s">
        <v>539</v>
      </c>
      <c r="C10" s="9">
        <f t="shared" si="2"/>
        <v>704820</v>
      </c>
      <c r="D10" s="9">
        <v>3408</v>
      </c>
      <c r="E10" s="9">
        <f t="shared" si="0"/>
        <v>-701412</v>
      </c>
      <c r="F10" s="9">
        <f t="shared" si="3"/>
        <v>55279</v>
      </c>
      <c r="G10" s="9">
        <v>56830</v>
      </c>
      <c r="H10" s="9">
        <f t="shared" si="1"/>
        <v>1551</v>
      </c>
    </row>
    <row r="11" spans="2:8">
      <c r="B11" s="160" t="s">
        <v>540</v>
      </c>
      <c r="C11" s="9">
        <f t="shared" si="2"/>
        <v>3408</v>
      </c>
      <c r="D11" s="9">
        <v>14340</v>
      </c>
      <c r="E11" s="9">
        <f t="shared" si="0"/>
        <v>10932</v>
      </c>
      <c r="F11" s="9">
        <f t="shared" si="3"/>
        <v>56830</v>
      </c>
      <c r="G11" s="9">
        <v>59254</v>
      </c>
      <c r="H11" s="9">
        <f t="shared" si="1"/>
        <v>2424</v>
      </c>
    </row>
    <row r="12" spans="2:8">
      <c r="B12" s="160" t="s">
        <v>541</v>
      </c>
      <c r="C12" s="9">
        <f t="shared" si="2"/>
        <v>14340</v>
      </c>
      <c r="D12" s="9">
        <v>21509</v>
      </c>
      <c r="E12" s="9">
        <f t="shared" si="0"/>
        <v>7169</v>
      </c>
      <c r="F12" s="9">
        <f t="shared" si="3"/>
        <v>59254</v>
      </c>
      <c r="G12" s="9">
        <v>62136</v>
      </c>
      <c r="H12" s="9">
        <f t="shared" si="1"/>
        <v>2882</v>
      </c>
    </row>
    <row r="13" spans="2:8">
      <c r="B13" s="160" t="s">
        <v>542</v>
      </c>
      <c r="C13" s="9">
        <f t="shared" si="2"/>
        <v>21509</v>
      </c>
      <c r="D13" s="9">
        <v>34144</v>
      </c>
      <c r="E13" s="9">
        <f t="shared" si="0"/>
        <v>12635</v>
      </c>
      <c r="F13" s="9">
        <f t="shared" si="3"/>
        <v>62136</v>
      </c>
      <c r="G13" s="9">
        <v>64012</v>
      </c>
      <c r="H13" s="9">
        <f t="shared" si="1"/>
        <v>1876</v>
      </c>
    </row>
    <row r="14" spans="2:8">
      <c r="B14" s="160" t="s">
        <v>543</v>
      </c>
      <c r="C14" s="9">
        <f t="shared" si="2"/>
        <v>34144</v>
      </c>
      <c r="D14" s="9">
        <v>56594</v>
      </c>
      <c r="E14" s="9">
        <f t="shared" si="0"/>
        <v>22450</v>
      </c>
      <c r="F14" s="9">
        <f t="shared" si="3"/>
        <v>64012</v>
      </c>
      <c r="G14" s="9">
        <v>67049</v>
      </c>
      <c r="H14" s="9">
        <f t="shared" si="1"/>
        <v>3037</v>
      </c>
    </row>
    <row r="15" spans="2:8">
      <c r="B15" s="160" t="s">
        <v>532</v>
      </c>
      <c r="C15" s="9">
        <f t="shared" si="2"/>
        <v>56594</v>
      </c>
      <c r="D15" s="9">
        <v>57674</v>
      </c>
      <c r="E15" s="9">
        <f t="shared" si="0"/>
        <v>1080</v>
      </c>
      <c r="F15" s="9">
        <f t="shared" si="3"/>
        <v>67049</v>
      </c>
      <c r="G15" s="9">
        <v>69971</v>
      </c>
      <c r="H15" s="9">
        <f t="shared" si="1"/>
        <v>2922</v>
      </c>
    </row>
    <row r="16" spans="2:8">
      <c r="B16" s="160" t="s">
        <v>533</v>
      </c>
      <c r="C16" s="9">
        <f t="shared" si="2"/>
        <v>57674</v>
      </c>
      <c r="D16" s="9">
        <v>82496</v>
      </c>
      <c r="E16" s="9">
        <f t="shared" si="0"/>
        <v>24822</v>
      </c>
      <c r="F16" s="9">
        <f t="shared" si="3"/>
        <v>69971</v>
      </c>
      <c r="G16" s="9">
        <v>71816</v>
      </c>
      <c r="H16" s="9">
        <f t="shared" si="1"/>
        <v>1845</v>
      </c>
    </row>
    <row r="17" spans="2:8">
      <c r="B17" s="160" t="s">
        <v>544</v>
      </c>
      <c r="C17" s="9">
        <f t="shared" si="2"/>
        <v>82496</v>
      </c>
      <c r="D17" s="9">
        <v>90988</v>
      </c>
      <c r="E17" s="9">
        <f t="shared" si="0"/>
        <v>8492</v>
      </c>
      <c r="F17" s="9">
        <f t="shared" si="3"/>
        <v>71816</v>
      </c>
      <c r="G17" s="9">
        <v>74395</v>
      </c>
      <c r="H17" s="9">
        <f t="shared" si="1"/>
        <v>2579</v>
      </c>
    </row>
    <row r="18" spans="2:8">
      <c r="B18" s="160" t="s">
        <v>545</v>
      </c>
      <c r="C18" s="9">
        <f t="shared" si="2"/>
        <v>90988</v>
      </c>
      <c r="D18" s="9">
        <v>108158</v>
      </c>
      <c r="E18" s="9">
        <f t="shared" si="0"/>
        <v>17170</v>
      </c>
      <c r="F18" s="9">
        <f t="shared" si="3"/>
        <v>74395</v>
      </c>
      <c r="G18" s="9">
        <v>76674</v>
      </c>
      <c r="H18" s="9">
        <f t="shared" si="1"/>
        <v>2279</v>
      </c>
    </row>
    <row r="19" spans="2:8">
      <c r="B19" s="160" t="s">
        <v>546</v>
      </c>
      <c r="C19" s="9">
        <f t="shared" si="2"/>
        <v>108158</v>
      </c>
      <c r="D19" s="9">
        <v>125266</v>
      </c>
      <c r="E19" s="9">
        <f t="shared" si="0"/>
        <v>17108</v>
      </c>
      <c r="F19" s="9">
        <f t="shared" si="3"/>
        <v>76674</v>
      </c>
      <c r="G19" s="9">
        <v>79866</v>
      </c>
      <c r="H19" s="9">
        <f t="shared" si="1"/>
        <v>3192</v>
      </c>
    </row>
    <row r="20" spans="2:8">
      <c r="B20" s="160" t="s">
        <v>547</v>
      </c>
      <c r="C20" s="9">
        <f t="shared" si="2"/>
        <v>125266</v>
      </c>
      <c r="D20" s="9">
        <v>125266</v>
      </c>
      <c r="E20" s="9">
        <f t="shared" si="0"/>
        <v>0</v>
      </c>
      <c r="F20" s="9">
        <f t="shared" si="3"/>
        <v>79866</v>
      </c>
      <c r="G20" s="9">
        <v>81780</v>
      </c>
      <c r="H20" s="9">
        <f t="shared" si="1"/>
        <v>1914</v>
      </c>
    </row>
    <row r="21" spans="2:8">
      <c r="B21" s="160" t="s">
        <v>548</v>
      </c>
      <c r="C21" s="9">
        <f t="shared" si="2"/>
        <v>125266</v>
      </c>
      <c r="D21" s="9">
        <v>148132</v>
      </c>
      <c r="E21" s="9">
        <f t="shared" si="0"/>
        <v>22866</v>
      </c>
      <c r="F21" s="9">
        <f t="shared" si="3"/>
        <v>81780</v>
      </c>
      <c r="G21" s="9">
        <v>83897</v>
      </c>
      <c r="H21" s="9">
        <f t="shared" si="1"/>
        <v>2117</v>
      </c>
    </row>
    <row r="22" spans="2:8">
      <c r="B22" s="160" t="s">
        <v>549</v>
      </c>
      <c r="C22" s="9">
        <f t="shared" si="2"/>
        <v>148132</v>
      </c>
      <c r="D22" s="9">
        <v>184799</v>
      </c>
      <c r="E22" s="9">
        <f t="shared" si="0"/>
        <v>36667</v>
      </c>
      <c r="F22" s="9">
        <f t="shared" si="3"/>
        <v>83897</v>
      </c>
      <c r="G22" s="9">
        <v>86339</v>
      </c>
      <c r="H22" s="9">
        <f t="shared" si="1"/>
        <v>2442</v>
      </c>
    </row>
    <row r="23" spans="2:8">
      <c r="B23" s="160" t="s">
        <v>550</v>
      </c>
      <c r="C23" s="9">
        <f t="shared" si="2"/>
        <v>184799</v>
      </c>
      <c r="D23" s="9">
        <v>198079</v>
      </c>
      <c r="E23" s="9">
        <f t="shared" si="0"/>
        <v>13280</v>
      </c>
      <c r="F23" s="9">
        <f t="shared" si="3"/>
        <v>86339</v>
      </c>
      <c r="G23" s="9">
        <v>87943</v>
      </c>
      <c r="H23" s="9">
        <f t="shared" si="1"/>
        <v>1604</v>
      </c>
    </row>
    <row r="24" spans="2:8">
      <c r="B24" s="160" t="s">
        <v>551</v>
      </c>
      <c r="C24" s="9">
        <v>198079</v>
      </c>
      <c r="D24" s="9">
        <v>198079</v>
      </c>
      <c r="E24" s="9">
        <f t="shared" si="0"/>
        <v>0</v>
      </c>
      <c r="F24" s="9">
        <f t="shared" si="3"/>
        <v>87943</v>
      </c>
      <c r="G24" s="9">
        <v>91281</v>
      </c>
      <c r="H24" s="9">
        <f t="shared" si="1"/>
        <v>3338</v>
      </c>
    </row>
    <row r="25" spans="2:8">
      <c r="B25" s="160" t="s">
        <v>552</v>
      </c>
      <c r="C25" s="9">
        <v>198079</v>
      </c>
      <c r="D25" s="9">
        <v>216170</v>
      </c>
      <c r="E25" s="9">
        <f t="shared" si="0"/>
        <v>18091</v>
      </c>
      <c r="F25" s="9">
        <f t="shared" si="3"/>
        <v>91281</v>
      </c>
      <c r="G25" s="9">
        <v>93449</v>
      </c>
      <c r="H25" s="9">
        <f t="shared" si="1"/>
        <v>2168</v>
      </c>
    </row>
    <row r="26" spans="2:8">
      <c r="B26" s="160" t="s">
        <v>543</v>
      </c>
      <c r="C26" s="9">
        <f t="shared" ref="C26:C30" si="4">D25</f>
        <v>216170</v>
      </c>
      <c r="D26" s="9">
        <v>216170</v>
      </c>
      <c r="E26" s="9">
        <f t="shared" si="0"/>
        <v>0</v>
      </c>
      <c r="F26" s="9">
        <f t="shared" si="3"/>
        <v>93449</v>
      </c>
      <c r="G26" s="9">
        <v>97869</v>
      </c>
      <c r="H26" s="9">
        <f t="shared" si="1"/>
        <v>4420</v>
      </c>
    </row>
    <row r="27" spans="2:8">
      <c r="B27" s="160" t="s">
        <v>532</v>
      </c>
      <c r="C27" s="9">
        <f t="shared" si="4"/>
        <v>216170</v>
      </c>
      <c r="D27" s="9">
        <v>216170</v>
      </c>
      <c r="E27" s="9">
        <f t="shared" si="0"/>
        <v>0</v>
      </c>
      <c r="F27" s="9">
        <f t="shared" si="3"/>
        <v>97869</v>
      </c>
      <c r="G27" s="9">
        <v>100089</v>
      </c>
      <c r="H27" s="9">
        <f t="shared" si="1"/>
        <v>2220</v>
      </c>
    </row>
    <row r="28" spans="2:8">
      <c r="B28" s="160" t="s">
        <v>533</v>
      </c>
      <c r="C28" s="9">
        <v>216170</v>
      </c>
      <c r="D28" s="9">
        <v>216170</v>
      </c>
      <c r="E28" s="9">
        <f t="shared" si="0"/>
        <v>0</v>
      </c>
      <c r="F28" s="9">
        <f t="shared" si="3"/>
        <v>100089</v>
      </c>
      <c r="G28" s="9">
        <v>103914</v>
      </c>
      <c r="H28" s="9">
        <f t="shared" si="1"/>
        <v>3825</v>
      </c>
    </row>
    <row r="29" spans="2:8">
      <c r="B29" s="160" t="s">
        <v>544</v>
      </c>
      <c r="C29" s="9">
        <f t="shared" si="4"/>
        <v>216170</v>
      </c>
      <c r="D29" s="9">
        <v>216170</v>
      </c>
      <c r="E29" s="9">
        <f t="shared" si="0"/>
        <v>0</v>
      </c>
      <c r="F29" s="9">
        <f t="shared" si="3"/>
        <v>103914</v>
      </c>
      <c r="G29" s="9">
        <v>107371</v>
      </c>
      <c r="H29" s="9">
        <f t="shared" si="1"/>
        <v>3457</v>
      </c>
    </row>
    <row r="30" spans="2:8">
      <c r="B30" s="160" t="s">
        <v>545</v>
      </c>
      <c r="C30" s="9">
        <f t="shared" si="4"/>
        <v>216170</v>
      </c>
      <c r="D30" s="9">
        <v>216170</v>
      </c>
      <c r="E30" s="9">
        <f t="shared" si="0"/>
        <v>0</v>
      </c>
      <c r="F30" s="9">
        <f t="shared" si="3"/>
        <v>107371</v>
      </c>
      <c r="G30" s="9">
        <v>109870</v>
      </c>
      <c r="H30" s="9">
        <f t="shared" si="1"/>
        <v>2499</v>
      </c>
    </row>
    <row r="31" spans="2:8">
      <c r="B31" s="160" t="s">
        <v>546</v>
      </c>
      <c r="C31" s="9">
        <v>216170</v>
      </c>
      <c r="D31" s="9">
        <v>216170</v>
      </c>
      <c r="E31" s="9">
        <f t="shared" si="0"/>
        <v>0</v>
      </c>
      <c r="F31" s="9">
        <f t="shared" si="3"/>
        <v>109870</v>
      </c>
      <c r="G31" s="9">
        <v>112996</v>
      </c>
      <c r="H31" s="9">
        <f t="shared" si="1"/>
        <v>3126</v>
      </c>
    </row>
    <row r="32" spans="2:8">
      <c r="B32" s="160" t="s">
        <v>547</v>
      </c>
      <c r="C32" s="9">
        <f t="shared" ref="C32:C34" si="5">D31</f>
        <v>216170</v>
      </c>
      <c r="D32" s="9">
        <v>216170</v>
      </c>
      <c r="E32" s="9">
        <f t="shared" si="0"/>
        <v>0</v>
      </c>
      <c r="F32" s="9">
        <f t="shared" si="3"/>
        <v>112996</v>
      </c>
      <c r="G32" s="9">
        <v>116556</v>
      </c>
      <c r="H32" s="9">
        <f t="shared" si="1"/>
        <v>3560</v>
      </c>
    </row>
    <row r="33" spans="2:8">
      <c r="B33" s="160" t="s">
        <v>548</v>
      </c>
      <c r="C33" s="9">
        <f t="shared" si="5"/>
        <v>216170</v>
      </c>
      <c r="D33" s="9">
        <v>256178</v>
      </c>
      <c r="E33" s="9">
        <f t="shared" si="0"/>
        <v>40008</v>
      </c>
      <c r="F33" s="9">
        <f t="shared" si="3"/>
        <v>116556</v>
      </c>
      <c r="G33" s="9">
        <v>119481</v>
      </c>
      <c r="H33" s="9">
        <f t="shared" si="1"/>
        <v>2925</v>
      </c>
    </row>
    <row r="34" spans="2:8">
      <c r="B34" s="160" t="s">
        <v>549</v>
      </c>
      <c r="C34" s="9">
        <f t="shared" si="5"/>
        <v>256178</v>
      </c>
      <c r="D34" s="9">
        <v>256178</v>
      </c>
      <c r="E34" s="9">
        <f t="shared" si="0"/>
        <v>0</v>
      </c>
      <c r="F34" s="9">
        <f t="shared" si="3"/>
        <v>119481</v>
      </c>
      <c r="G34" s="9">
        <v>186893</v>
      </c>
      <c r="H34" s="9">
        <f t="shared" si="1"/>
        <v>67412</v>
      </c>
    </row>
    <row r="35" spans="2:8">
      <c r="B35" s="160"/>
      <c r="F35" s="9">
        <v>186893</v>
      </c>
      <c r="G35" s="9">
        <v>125646</v>
      </c>
      <c r="H35" s="9">
        <v>-61247</v>
      </c>
    </row>
    <row r="36" spans="2:8">
      <c r="B36" s="160"/>
    </row>
    <row r="37" spans="2:8">
      <c r="B37" s="160"/>
    </row>
    <row r="38" spans="2:8">
      <c r="B38" s="160"/>
    </row>
    <row r="39" spans="2:8">
      <c r="B39" s="160"/>
    </row>
    <row r="40" spans="2:8">
      <c r="B40" s="160"/>
    </row>
    <row r="41" spans="2:8">
      <c r="B41" s="160"/>
    </row>
    <row r="42" spans="2:8">
      <c r="B42" s="160"/>
    </row>
    <row r="43" spans="2:8">
      <c r="B43" s="160"/>
    </row>
    <row r="44" spans="2:8">
      <c r="B44" s="160"/>
    </row>
    <row r="45" spans="2:8">
      <c r="B45" s="160"/>
    </row>
    <row r="46" spans="2:8">
      <c r="B46" s="160"/>
    </row>
    <row r="47" spans="2:8">
      <c r="B47" s="160"/>
    </row>
  </sheetData>
  <mergeCells count="2">
    <mergeCell ref="C1:E1"/>
    <mergeCell ref="F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8:T224"/>
  <sheetViews>
    <sheetView workbookViewId="0">
      <selection activeCell="O23" sqref="O23"/>
    </sheetView>
  </sheetViews>
  <sheetFormatPr defaultColWidth="9" defaultRowHeight="14.5"/>
  <cols>
    <col min="1" max="1" width="9.90625" customWidth="1"/>
    <col min="2" max="3" width="12.36328125" customWidth="1"/>
    <col min="4" max="4" width="10.6328125" customWidth="1"/>
    <col min="5" max="5" width="11.08984375" customWidth="1"/>
    <col min="6" max="6" width="12.36328125" style="9" customWidth="1"/>
    <col min="7" max="7" width="12.90625" customWidth="1"/>
    <col min="8" max="8" width="22.36328125" customWidth="1"/>
    <col min="9" max="9" width="16.36328125" customWidth="1"/>
    <col min="10" max="10" width="13" customWidth="1"/>
    <col min="11" max="11" width="13.54296875" customWidth="1"/>
  </cols>
  <sheetData>
    <row r="18" spans="1:11" ht="18.5">
      <c r="B18" s="147"/>
      <c r="C18" s="148"/>
      <c r="D18" s="148"/>
      <c r="E18" s="148"/>
      <c r="F18" s="149"/>
      <c r="G18" s="148"/>
      <c r="H18" s="148"/>
      <c r="I18" s="148"/>
    </row>
    <row r="21" spans="1:11" ht="31">
      <c r="A21" s="150" t="s">
        <v>553</v>
      </c>
      <c r="B21" s="150" t="s">
        <v>554</v>
      </c>
      <c r="C21" s="150" t="s">
        <v>555</v>
      </c>
      <c r="D21" s="151" t="s">
        <v>70</v>
      </c>
      <c r="E21" s="150" t="s">
        <v>556</v>
      </c>
      <c r="F21" s="150" t="s">
        <v>557</v>
      </c>
      <c r="G21" s="150" t="s">
        <v>558</v>
      </c>
      <c r="H21" s="150" t="s">
        <v>559</v>
      </c>
      <c r="I21" s="150" t="s">
        <v>560</v>
      </c>
      <c r="J21" s="150" t="s">
        <v>561</v>
      </c>
      <c r="K21" s="150" t="s">
        <v>562</v>
      </c>
    </row>
    <row r="22" spans="1:11">
      <c r="A22" s="17">
        <v>2026</v>
      </c>
      <c r="B22" s="17" t="s">
        <v>550</v>
      </c>
      <c r="C22" s="17">
        <v>2</v>
      </c>
      <c r="D22" s="152">
        <v>46083</v>
      </c>
      <c r="E22" s="24" t="s">
        <v>563</v>
      </c>
      <c r="F22" s="24" t="s">
        <v>564</v>
      </c>
      <c r="G22" s="24" t="s">
        <v>565</v>
      </c>
      <c r="H22" s="24" t="s">
        <v>566</v>
      </c>
      <c r="I22" s="24" t="s">
        <v>567</v>
      </c>
      <c r="J22" s="65" t="s">
        <v>568</v>
      </c>
      <c r="K22" s="65">
        <v>258910</v>
      </c>
    </row>
    <row r="23" spans="1:11">
      <c r="A23" s="17">
        <v>2026</v>
      </c>
      <c r="B23" s="17" t="s">
        <v>550</v>
      </c>
      <c r="C23" s="17">
        <v>2</v>
      </c>
      <c r="D23" s="152">
        <v>46083</v>
      </c>
      <c r="E23" s="24" t="s">
        <v>563</v>
      </c>
      <c r="F23" s="24" t="s">
        <v>564</v>
      </c>
      <c r="G23" s="24" t="s">
        <v>565</v>
      </c>
      <c r="H23" s="24" t="s">
        <v>566</v>
      </c>
      <c r="I23" s="24" t="s">
        <v>567</v>
      </c>
      <c r="J23" s="65" t="s">
        <v>568</v>
      </c>
      <c r="K23" s="65">
        <v>258910</v>
      </c>
    </row>
    <row r="24" spans="1:11">
      <c r="A24" s="17">
        <v>2026</v>
      </c>
      <c r="B24" s="17" t="s">
        <v>550</v>
      </c>
      <c r="C24" s="17">
        <v>2</v>
      </c>
      <c r="D24" s="152">
        <v>46083</v>
      </c>
      <c r="E24" s="24" t="s">
        <v>569</v>
      </c>
      <c r="F24" s="24" t="s">
        <v>570</v>
      </c>
      <c r="G24" s="24" t="s">
        <v>565</v>
      </c>
      <c r="H24" s="24" t="s">
        <v>566</v>
      </c>
      <c r="I24" s="24" t="s">
        <v>567</v>
      </c>
      <c r="J24" s="65" t="s">
        <v>568</v>
      </c>
      <c r="K24" s="65">
        <v>258910</v>
      </c>
    </row>
    <row r="25" spans="1:11">
      <c r="A25" s="17">
        <v>2026</v>
      </c>
      <c r="B25" s="17" t="s">
        <v>550</v>
      </c>
      <c r="C25" s="17">
        <v>2</v>
      </c>
      <c r="D25" s="153">
        <v>46083</v>
      </c>
      <c r="E25" s="154" t="s">
        <v>569</v>
      </c>
      <c r="F25" s="154" t="s">
        <v>571</v>
      </c>
      <c r="G25" s="154" t="s">
        <v>572</v>
      </c>
      <c r="H25" s="154" t="s">
        <v>573</v>
      </c>
      <c r="I25" s="154" t="s">
        <v>567</v>
      </c>
      <c r="J25" s="156" t="s">
        <v>568</v>
      </c>
      <c r="K25" s="156">
        <v>258911</v>
      </c>
    </row>
    <row r="26" spans="1:11">
      <c r="A26" s="17">
        <v>2026</v>
      </c>
      <c r="B26" s="17" t="s">
        <v>550</v>
      </c>
      <c r="C26" s="17">
        <v>2</v>
      </c>
      <c r="D26" s="152">
        <v>46063</v>
      </c>
      <c r="E26" s="24" t="s">
        <v>574</v>
      </c>
      <c r="F26" s="24" t="s">
        <v>575</v>
      </c>
      <c r="G26" s="24" t="s">
        <v>511</v>
      </c>
      <c r="H26" s="24" t="s">
        <v>573</v>
      </c>
      <c r="I26" s="24" t="s">
        <v>576</v>
      </c>
      <c r="J26" s="65" t="s">
        <v>568</v>
      </c>
      <c r="K26" s="65">
        <v>258922</v>
      </c>
    </row>
    <row r="27" spans="1:11">
      <c r="A27" s="17">
        <v>2026</v>
      </c>
      <c r="B27" s="17" t="s">
        <v>550</v>
      </c>
      <c r="C27" s="17">
        <v>2</v>
      </c>
      <c r="D27" s="152">
        <v>46063</v>
      </c>
      <c r="E27" s="24" t="s">
        <v>574</v>
      </c>
      <c r="F27" s="24" t="s">
        <v>575</v>
      </c>
      <c r="G27" s="24" t="s">
        <v>511</v>
      </c>
      <c r="H27" s="24" t="s">
        <v>573</v>
      </c>
      <c r="I27" s="24" t="s">
        <v>576</v>
      </c>
      <c r="J27" s="65" t="s">
        <v>568</v>
      </c>
      <c r="K27" s="65">
        <v>258922</v>
      </c>
    </row>
    <row r="28" spans="1:11">
      <c r="A28" s="17">
        <v>2026</v>
      </c>
      <c r="B28" s="17" t="s">
        <v>550</v>
      </c>
      <c r="C28" s="17">
        <v>2</v>
      </c>
      <c r="D28" s="152">
        <v>46063</v>
      </c>
      <c r="E28" s="24" t="s">
        <v>577</v>
      </c>
      <c r="F28" s="24" t="s">
        <v>578</v>
      </c>
      <c r="G28" s="24" t="s">
        <v>511</v>
      </c>
      <c r="H28" s="24" t="s">
        <v>573</v>
      </c>
      <c r="I28" s="24" t="s">
        <v>576</v>
      </c>
      <c r="J28" s="65" t="s">
        <v>124</v>
      </c>
      <c r="K28" s="65">
        <v>258922</v>
      </c>
    </row>
    <row r="29" spans="1:11">
      <c r="A29" s="17">
        <v>2026</v>
      </c>
      <c r="B29" s="17" t="s">
        <v>550</v>
      </c>
      <c r="C29" s="17">
        <v>2</v>
      </c>
      <c r="D29" s="152">
        <v>46063</v>
      </c>
      <c r="E29" s="24" t="s">
        <v>577</v>
      </c>
      <c r="F29" s="24" t="s">
        <v>578</v>
      </c>
      <c r="G29" s="24" t="s">
        <v>511</v>
      </c>
      <c r="H29" s="24" t="s">
        <v>573</v>
      </c>
      <c r="I29" s="24" t="s">
        <v>576</v>
      </c>
      <c r="J29" s="65" t="s">
        <v>124</v>
      </c>
      <c r="K29" s="65">
        <v>258922</v>
      </c>
    </row>
    <row r="30" spans="1:11">
      <c r="A30" s="17">
        <v>2026</v>
      </c>
      <c r="B30" s="17" t="s">
        <v>550</v>
      </c>
      <c r="C30" s="17">
        <v>2</v>
      </c>
      <c r="D30" s="152">
        <v>46063</v>
      </c>
      <c r="E30" s="24" t="s">
        <v>563</v>
      </c>
      <c r="F30" s="24" t="s">
        <v>570</v>
      </c>
      <c r="G30" s="24" t="s">
        <v>511</v>
      </c>
      <c r="H30" s="24" t="s">
        <v>573</v>
      </c>
      <c r="I30" s="24" t="s">
        <v>576</v>
      </c>
      <c r="J30" s="65" t="s">
        <v>124</v>
      </c>
      <c r="K30" s="65">
        <v>258922</v>
      </c>
    </row>
    <row r="31" spans="1:11">
      <c r="A31" s="17">
        <v>2026</v>
      </c>
      <c r="B31" s="17" t="s">
        <v>550</v>
      </c>
      <c r="C31" s="17">
        <v>2</v>
      </c>
      <c r="D31" s="152">
        <v>46063</v>
      </c>
      <c r="E31" s="24" t="s">
        <v>563</v>
      </c>
      <c r="F31" s="24" t="s">
        <v>575</v>
      </c>
      <c r="G31" s="24" t="s">
        <v>511</v>
      </c>
      <c r="H31" s="24" t="s">
        <v>573</v>
      </c>
      <c r="I31" s="24" t="s">
        <v>576</v>
      </c>
      <c r="J31" s="65" t="s">
        <v>124</v>
      </c>
      <c r="K31" s="65">
        <v>258922</v>
      </c>
    </row>
    <row r="32" spans="1:11">
      <c r="A32" s="17">
        <v>2026</v>
      </c>
      <c r="B32" s="17" t="s">
        <v>550</v>
      </c>
      <c r="C32" s="17">
        <v>2</v>
      </c>
      <c r="D32" s="152">
        <v>46063</v>
      </c>
      <c r="E32" s="24" t="s">
        <v>563</v>
      </c>
      <c r="F32" s="24" t="s">
        <v>579</v>
      </c>
      <c r="G32" s="24" t="s">
        <v>511</v>
      </c>
      <c r="H32" s="24" t="s">
        <v>573</v>
      </c>
      <c r="I32" s="24" t="s">
        <v>576</v>
      </c>
      <c r="J32" s="65" t="s">
        <v>124</v>
      </c>
      <c r="K32" s="65">
        <v>258922</v>
      </c>
    </row>
    <row r="33" spans="1:20">
      <c r="A33" s="17">
        <v>2026</v>
      </c>
      <c r="B33" s="17" t="s">
        <v>550</v>
      </c>
      <c r="C33" s="17">
        <v>2</v>
      </c>
      <c r="D33" s="152">
        <v>46063</v>
      </c>
      <c r="E33" s="24" t="s">
        <v>563</v>
      </c>
      <c r="F33" s="24" t="s">
        <v>580</v>
      </c>
      <c r="G33" s="24" t="s">
        <v>511</v>
      </c>
      <c r="H33" s="24" t="s">
        <v>573</v>
      </c>
      <c r="I33" s="24" t="s">
        <v>576</v>
      </c>
      <c r="J33" s="65" t="s">
        <v>124</v>
      </c>
      <c r="K33" s="65">
        <v>258922</v>
      </c>
    </row>
    <row r="34" spans="1:20">
      <c r="A34" s="17">
        <v>2026</v>
      </c>
      <c r="B34" s="17" t="s">
        <v>550</v>
      </c>
      <c r="C34" s="17">
        <v>2</v>
      </c>
      <c r="D34" s="152">
        <v>46063</v>
      </c>
      <c r="E34" s="24" t="s">
        <v>563</v>
      </c>
      <c r="F34" s="24" t="s">
        <v>581</v>
      </c>
      <c r="G34" s="24" t="s">
        <v>511</v>
      </c>
      <c r="H34" s="24" t="s">
        <v>573</v>
      </c>
      <c r="I34" s="24" t="s">
        <v>576</v>
      </c>
      <c r="J34" s="65" t="s">
        <v>124</v>
      </c>
      <c r="K34" s="65">
        <v>258922</v>
      </c>
    </row>
    <row r="35" spans="1:20">
      <c r="A35" s="17">
        <v>2026</v>
      </c>
      <c r="B35" s="17" t="s">
        <v>550</v>
      </c>
      <c r="C35" s="17">
        <v>2</v>
      </c>
      <c r="D35" s="152">
        <v>46063</v>
      </c>
      <c r="E35" s="24" t="s">
        <v>563</v>
      </c>
      <c r="F35" s="24" t="s">
        <v>582</v>
      </c>
      <c r="G35" s="24" t="s">
        <v>511</v>
      </c>
      <c r="H35" s="24" t="s">
        <v>573</v>
      </c>
      <c r="I35" s="24" t="s">
        <v>576</v>
      </c>
      <c r="J35" s="65" t="s">
        <v>124</v>
      </c>
      <c r="K35" s="65">
        <v>258922</v>
      </c>
      <c r="M35" s="157"/>
    </row>
    <row r="36" spans="1:20">
      <c r="A36" s="17">
        <v>2026</v>
      </c>
      <c r="B36" s="17" t="s">
        <v>550</v>
      </c>
      <c r="C36" s="17">
        <v>2</v>
      </c>
      <c r="D36" s="152">
        <v>46063</v>
      </c>
      <c r="E36" s="24" t="s">
        <v>583</v>
      </c>
      <c r="F36" s="24" t="s">
        <v>584</v>
      </c>
      <c r="G36" s="24" t="s">
        <v>511</v>
      </c>
      <c r="H36" s="24" t="s">
        <v>573</v>
      </c>
      <c r="I36" s="24" t="s">
        <v>576</v>
      </c>
      <c r="J36" s="65" t="s">
        <v>124</v>
      </c>
      <c r="K36" s="65">
        <v>258922</v>
      </c>
      <c r="N36" s="158"/>
      <c r="O36" s="158"/>
      <c r="P36" s="158"/>
      <c r="Q36" s="158"/>
      <c r="R36" s="158"/>
      <c r="S36" s="158"/>
      <c r="T36" s="158"/>
    </row>
    <row r="37" spans="1:20">
      <c r="A37" s="17">
        <v>2026</v>
      </c>
      <c r="B37" s="17" t="s">
        <v>550</v>
      </c>
      <c r="C37" s="17">
        <v>2</v>
      </c>
      <c r="D37" s="152">
        <v>46063</v>
      </c>
      <c r="E37" s="24" t="s">
        <v>583</v>
      </c>
      <c r="F37" s="24" t="s">
        <v>584</v>
      </c>
      <c r="G37" s="24" t="s">
        <v>511</v>
      </c>
      <c r="H37" s="24" t="s">
        <v>573</v>
      </c>
      <c r="I37" s="24" t="s">
        <v>576</v>
      </c>
      <c r="J37" s="65" t="s">
        <v>124</v>
      </c>
      <c r="K37" s="65">
        <v>258922</v>
      </c>
    </row>
    <row r="38" spans="1:20">
      <c r="A38" s="17">
        <v>2026</v>
      </c>
      <c r="B38" s="17" t="s">
        <v>550</v>
      </c>
      <c r="C38" s="17">
        <v>2</v>
      </c>
      <c r="D38" s="152">
        <v>46063</v>
      </c>
      <c r="E38" s="24" t="s">
        <v>585</v>
      </c>
      <c r="F38" s="24" t="s">
        <v>584</v>
      </c>
      <c r="G38" s="24" t="s">
        <v>511</v>
      </c>
      <c r="H38" s="24" t="s">
        <v>573</v>
      </c>
      <c r="I38" s="24" t="s">
        <v>576</v>
      </c>
      <c r="J38" s="65" t="s">
        <v>124</v>
      </c>
      <c r="K38" s="65">
        <v>258922</v>
      </c>
    </row>
    <row r="39" spans="1:20">
      <c r="A39" s="17">
        <v>2026</v>
      </c>
      <c r="B39" s="17" t="s">
        <v>550</v>
      </c>
      <c r="C39" s="17">
        <v>2</v>
      </c>
      <c r="D39" s="152">
        <v>46063</v>
      </c>
      <c r="E39" s="24" t="s">
        <v>585</v>
      </c>
      <c r="F39" s="24" t="s">
        <v>584</v>
      </c>
      <c r="G39" s="24" t="s">
        <v>511</v>
      </c>
      <c r="H39" s="24" t="s">
        <v>573</v>
      </c>
      <c r="I39" s="24" t="s">
        <v>576</v>
      </c>
      <c r="J39" s="65" t="s">
        <v>124</v>
      </c>
      <c r="K39" s="65">
        <v>258922</v>
      </c>
    </row>
    <row r="40" spans="1:20">
      <c r="A40" s="17">
        <v>2026</v>
      </c>
      <c r="B40" s="17" t="s">
        <v>550</v>
      </c>
      <c r="C40" s="17">
        <v>2</v>
      </c>
      <c r="D40" s="152">
        <v>46063</v>
      </c>
      <c r="E40" s="24" t="s">
        <v>586</v>
      </c>
      <c r="F40" s="24" t="s">
        <v>587</v>
      </c>
      <c r="G40" s="24" t="s">
        <v>588</v>
      </c>
      <c r="H40" s="24" t="s">
        <v>566</v>
      </c>
      <c r="I40" s="24" t="s">
        <v>576</v>
      </c>
      <c r="J40" s="65" t="s">
        <v>124</v>
      </c>
      <c r="K40" s="65">
        <v>28924</v>
      </c>
    </row>
    <row r="41" spans="1:20">
      <c r="A41" s="17">
        <v>2026</v>
      </c>
      <c r="B41" s="17" t="s">
        <v>550</v>
      </c>
      <c r="C41" s="17">
        <v>2</v>
      </c>
      <c r="D41" s="152">
        <v>46063</v>
      </c>
      <c r="E41" s="24" t="s">
        <v>589</v>
      </c>
      <c r="F41" s="24" t="s">
        <v>590</v>
      </c>
      <c r="G41" s="24" t="s">
        <v>588</v>
      </c>
      <c r="H41" s="24" t="s">
        <v>566</v>
      </c>
      <c r="I41" s="24" t="s">
        <v>576</v>
      </c>
      <c r="J41" s="65" t="s">
        <v>124</v>
      </c>
      <c r="K41" s="65">
        <v>28924</v>
      </c>
    </row>
    <row r="42" spans="1:20">
      <c r="A42" s="17">
        <v>2026</v>
      </c>
      <c r="B42" s="17" t="s">
        <v>550</v>
      </c>
      <c r="C42" s="17">
        <v>2</v>
      </c>
      <c r="D42" s="152">
        <v>46063</v>
      </c>
      <c r="E42" s="24" t="s">
        <v>589</v>
      </c>
      <c r="F42" s="24" t="s">
        <v>579</v>
      </c>
      <c r="G42" s="24" t="s">
        <v>588</v>
      </c>
      <c r="H42" s="24" t="s">
        <v>566</v>
      </c>
      <c r="I42" s="24" t="s">
        <v>576</v>
      </c>
      <c r="J42" s="65" t="s">
        <v>124</v>
      </c>
      <c r="K42" s="65">
        <v>28924</v>
      </c>
    </row>
    <row r="43" spans="1:20">
      <c r="A43" s="17">
        <v>2026</v>
      </c>
      <c r="B43" s="17" t="s">
        <v>550</v>
      </c>
      <c r="C43" s="17">
        <v>2</v>
      </c>
      <c r="D43" s="152">
        <v>46065</v>
      </c>
      <c r="E43" s="24" t="s">
        <v>589</v>
      </c>
      <c r="F43" s="24" t="s">
        <v>578</v>
      </c>
      <c r="G43" s="24" t="s">
        <v>591</v>
      </c>
      <c r="H43" s="24" t="s">
        <v>573</v>
      </c>
      <c r="I43" s="24" t="s">
        <v>576</v>
      </c>
      <c r="J43" s="65" t="s">
        <v>568</v>
      </c>
      <c r="K43" s="65">
        <v>258927</v>
      </c>
    </row>
    <row r="44" spans="1:20">
      <c r="A44" s="17">
        <v>2026</v>
      </c>
      <c r="B44" s="17" t="s">
        <v>550</v>
      </c>
      <c r="C44" s="17">
        <v>2</v>
      </c>
      <c r="D44" s="152">
        <v>46065</v>
      </c>
      <c r="E44" s="24" t="s">
        <v>589</v>
      </c>
      <c r="F44" s="24" t="s">
        <v>587</v>
      </c>
      <c r="G44" s="24" t="s">
        <v>477</v>
      </c>
      <c r="H44" s="24" t="s">
        <v>566</v>
      </c>
      <c r="I44" s="24" t="s">
        <v>576</v>
      </c>
      <c r="J44" s="65" t="s">
        <v>124</v>
      </c>
      <c r="K44" s="65">
        <v>258928</v>
      </c>
    </row>
    <row r="45" spans="1:20">
      <c r="A45" s="17">
        <v>2026</v>
      </c>
      <c r="B45" s="17" t="s">
        <v>550</v>
      </c>
      <c r="C45" s="17">
        <v>2</v>
      </c>
      <c r="D45" s="152">
        <v>46069</v>
      </c>
      <c r="E45" s="24" t="s">
        <v>585</v>
      </c>
      <c r="F45" s="24" t="s">
        <v>592</v>
      </c>
      <c r="G45" s="24" t="s">
        <v>593</v>
      </c>
      <c r="H45" s="24" t="s">
        <v>566</v>
      </c>
      <c r="I45" s="24" t="s">
        <v>576</v>
      </c>
      <c r="J45" s="65" t="s">
        <v>124</v>
      </c>
      <c r="K45" s="65">
        <v>258933</v>
      </c>
    </row>
    <row r="46" spans="1:20">
      <c r="A46" s="17"/>
      <c r="B46" s="17"/>
      <c r="C46" s="17"/>
      <c r="D46" s="155"/>
      <c r="F46"/>
      <c r="J46" s="9"/>
      <c r="K46" s="9"/>
    </row>
    <row r="47" spans="1:20">
      <c r="A47" s="17"/>
      <c r="B47" s="17"/>
      <c r="C47" s="17"/>
      <c r="D47" s="155"/>
      <c r="F47"/>
      <c r="J47" s="9"/>
      <c r="K47" s="9"/>
    </row>
    <row r="48" spans="1:20">
      <c r="A48" s="17"/>
      <c r="B48" s="17"/>
      <c r="C48" s="17"/>
      <c r="D48" s="155"/>
      <c r="F48"/>
      <c r="J48" s="9"/>
      <c r="K48" s="9"/>
    </row>
    <row r="49" spans="1:11">
      <c r="A49" s="17"/>
      <c r="B49" s="17"/>
      <c r="C49" s="17"/>
      <c r="D49" s="155"/>
      <c r="F49"/>
      <c r="J49" s="9"/>
      <c r="K49" s="9"/>
    </row>
    <row r="50" spans="1:11">
      <c r="A50" s="17"/>
      <c r="B50" s="17"/>
      <c r="C50" s="17"/>
      <c r="D50" s="155"/>
      <c r="F50"/>
      <c r="J50" s="9"/>
      <c r="K50" s="9"/>
    </row>
    <row r="51" spans="1:11">
      <c r="A51" s="17"/>
      <c r="B51" s="17"/>
      <c r="C51" s="17"/>
      <c r="D51" s="155"/>
      <c r="F51"/>
      <c r="J51" s="9"/>
      <c r="K51" s="9"/>
    </row>
    <row r="52" spans="1:11">
      <c r="A52" s="17"/>
      <c r="B52" s="17"/>
      <c r="C52" s="17"/>
      <c r="D52" s="155"/>
      <c r="F52"/>
      <c r="J52" s="9"/>
      <c r="K52" s="9"/>
    </row>
    <row r="53" spans="1:11">
      <c r="A53" s="17"/>
      <c r="B53" s="17"/>
      <c r="C53" s="17"/>
      <c r="D53" s="155"/>
      <c r="F53"/>
      <c r="J53" s="9"/>
      <c r="K53" s="9"/>
    </row>
    <row r="54" spans="1:11">
      <c r="A54" s="17"/>
      <c r="B54" s="17"/>
      <c r="C54" s="17"/>
      <c r="D54" s="155"/>
      <c r="F54"/>
      <c r="J54" s="9"/>
      <c r="K54" s="9"/>
    </row>
    <row r="55" spans="1:11">
      <c r="A55" s="17"/>
      <c r="B55" s="17"/>
      <c r="C55" s="17"/>
      <c r="D55" s="155"/>
      <c r="F55"/>
      <c r="J55" s="9"/>
      <c r="K55" s="9"/>
    </row>
    <row r="56" spans="1:11">
      <c r="A56" s="17"/>
      <c r="B56" s="17"/>
      <c r="C56" s="17"/>
      <c r="D56" s="155"/>
      <c r="F56"/>
      <c r="J56" s="9"/>
      <c r="K56" s="9"/>
    </row>
    <row r="57" spans="1:11">
      <c r="A57" s="17"/>
      <c r="B57" s="17"/>
      <c r="C57" s="17"/>
      <c r="D57" s="155"/>
      <c r="F57"/>
      <c r="J57" s="9"/>
      <c r="K57" s="9"/>
    </row>
    <row r="58" spans="1:11">
      <c r="A58" s="17"/>
      <c r="B58" s="17"/>
      <c r="C58" s="17"/>
      <c r="D58" s="155"/>
      <c r="F58"/>
      <c r="J58" s="9"/>
      <c r="K58" s="9"/>
    </row>
    <row r="59" spans="1:11">
      <c r="A59" s="17"/>
      <c r="B59" s="17"/>
      <c r="C59" s="17"/>
      <c r="D59" s="155"/>
      <c r="F59"/>
      <c r="J59" s="9"/>
      <c r="K59" s="9"/>
    </row>
    <row r="60" spans="1:11">
      <c r="A60" s="17"/>
      <c r="B60" s="17"/>
      <c r="C60" s="17"/>
      <c r="D60" s="155"/>
      <c r="F60"/>
      <c r="J60" s="9"/>
      <c r="K60" s="9"/>
    </row>
    <row r="61" spans="1:11">
      <c r="A61" s="17"/>
      <c r="B61" s="17"/>
      <c r="C61" s="17"/>
      <c r="D61" s="155"/>
      <c r="F61"/>
      <c r="J61" s="9"/>
      <c r="K61" s="9"/>
    </row>
    <row r="62" spans="1:11">
      <c r="A62" s="17"/>
      <c r="B62" s="17"/>
      <c r="C62" s="17"/>
      <c r="D62" s="155"/>
      <c r="F62"/>
      <c r="J62" s="9"/>
      <c r="K62" s="9"/>
    </row>
    <row r="63" spans="1:11">
      <c r="A63" s="17"/>
      <c r="B63" s="17"/>
      <c r="C63" s="17"/>
      <c r="D63" s="155"/>
      <c r="F63"/>
      <c r="J63" s="9"/>
      <c r="K63" s="9"/>
    </row>
    <row r="64" spans="1:11">
      <c r="A64" s="17"/>
      <c r="B64" s="17"/>
      <c r="C64" s="17"/>
      <c r="D64" s="155"/>
      <c r="F64"/>
      <c r="J64" s="9"/>
      <c r="K64" s="9"/>
    </row>
    <row r="65" spans="1:11">
      <c r="A65" s="17"/>
      <c r="B65" s="17"/>
      <c r="C65" s="17"/>
      <c r="D65" s="155"/>
      <c r="F65"/>
      <c r="J65" s="9"/>
      <c r="K65" s="9"/>
    </row>
    <row r="66" spans="1:11">
      <c r="A66" s="17"/>
      <c r="B66" s="17"/>
      <c r="C66" s="17"/>
      <c r="D66" s="155"/>
      <c r="F66"/>
      <c r="J66" s="9"/>
      <c r="K66" s="9"/>
    </row>
    <row r="67" spans="1:11">
      <c r="A67" s="17"/>
      <c r="B67" s="17"/>
      <c r="C67" s="17"/>
      <c r="D67" s="155"/>
      <c r="F67"/>
      <c r="J67" s="9"/>
      <c r="K67" s="9"/>
    </row>
    <row r="68" spans="1:11">
      <c r="A68" s="17"/>
      <c r="B68" s="17"/>
      <c r="C68" s="17"/>
      <c r="D68" s="155"/>
      <c r="F68"/>
      <c r="J68" s="9"/>
      <c r="K68" s="9"/>
    </row>
    <row r="69" spans="1:11">
      <c r="A69" s="17"/>
      <c r="B69" s="17"/>
      <c r="C69" s="17"/>
      <c r="D69" s="155"/>
      <c r="F69"/>
      <c r="J69" s="9"/>
      <c r="K69" s="9"/>
    </row>
    <row r="70" spans="1:11">
      <c r="A70" s="17"/>
      <c r="B70" s="17"/>
      <c r="C70" s="17"/>
      <c r="D70" s="155"/>
      <c r="F70"/>
      <c r="J70" s="9"/>
      <c r="K70" s="9"/>
    </row>
    <row r="71" spans="1:11">
      <c r="A71" s="17"/>
      <c r="B71" s="17"/>
      <c r="C71" s="17"/>
      <c r="D71" s="155"/>
      <c r="F71"/>
      <c r="J71" s="9"/>
      <c r="K71" s="9"/>
    </row>
    <row r="72" spans="1:11">
      <c r="A72" s="17"/>
      <c r="B72" s="17"/>
      <c r="C72" s="17"/>
      <c r="D72" s="155"/>
      <c r="F72"/>
      <c r="J72" s="9"/>
      <c r="K72" s="9"/>
    </row>
    <row r="73" spans="1:11">
      <c r="A73" s="17"/>
      <c r="B73" s="17"/>
      <c r="C73" s="17"/>
      <c r="D73" s="155"/>
      <c r="F73"/>
      <c r="J73" s="9"/>
      <c r="K73" s="9"/>
    </row>
    <row r="74" spans="1:11">
      <c r="A74" s="17"/>
      <c r="B74" s="17"/>
      <c r="C74" s="17"/>
      <c r="D74" s="155"/>
      <c r="F74"/>
      <c r="J74" s="9"/>
      <c r="K74" s="9"/>
    </row>
    <row r="75" spans="1:11">
      <c r="A75" s="17"/>
      <c r="B75" s="17"/>
      <c r="C75" s="17"/>
      <c r="D75" s="155"/>
      <c r="F75"/>
      <c r="J75" s="9"/>
      <c r="K75" s="9"/>
    </row>
    <row r="76" spans="1:11">
      <c r="A76" s="17"/>
      <c r="B76" s="17"/>
      <c r="C76" s="17"/>
      <c r="D76" s="155"/>
      <c r="F76"/>
      <c r="J76" s="9"/>
      <c r="K76" s="9"/>
    </row>
    <row r="77" spans="1:11">
      <c r="A77" s="17"/>
      <c r="B77" s="17"/>
      <c r="C77" s="17"/>
      <c r="D77" s="155"/>
      <c r="F77"/>
      <c r="J77" s="9"/>
      <c r="K77" s="9"/>
    </row>
    <row r="78" spans="1:11">
      <c r="A78" s="17"/>
      <c r="B78" s="17"/>
      <c r="C78" s="17"/>
      <c r="D78" s="155"/>
      <c r="F78"/>
      <c r="J78" s="9"/>
      <c r="K78" s="9"/>
    </row>
    <row r="79" spans="1:11">
      <c r="A79" s="17"/>
      <c r="B79" s="17"/>
      <c r="C79" s="17"/>
      <c r="D79" s="155"/>
      <c r="F79"/>
      <c r="J79" s="9"/>
      <c r="K79" s="9"/>
    </row>
    <row r="80" spans="1:11">
      <c r="A80" s="17"/>
      <c r="B80" s="17"/>
      <c r="C80" s="17"/>
      <c r="D80" s="155"/>
      <c r="F80"/>
      <c r="J80" s="9"/>
      <c r="K80" s="9"/>
    </row>
    <row r="81" spans="1:11">
      <c r="A81" s="17"/>
      <c r="B81" s="17"/>
      <c r="C81" s="17"/>
      <c r="D81" s="155"/>
      <c r="F81"/>
      <c r="J81" s="9"/>
      <c r="K81" s="9"/>
    </row>
    <row r="82" spans="1:11">
      <c r="A82" s="17"/>
      <c r="B82" s="17"/>
      <c r="C82" s="17"/>
      <c r="D82" s="155"/>
      <c r="F82"/>
      <c r="J82" s="9"/>
      <c r="K82" s="9"/>
    </row>
    <row r="83" spans="1:11">
      <c r="A83" s="17"/>
      <c r="B83" s="17"/>
      <c r="C83" s="17"/>
      <c r="D83" s="155"/>
      <c r="F83"/>
      <c r="J83" s="9"/>
      <c r="K83" s="9"/>
    </row>
    <row r="84" spans="1:11">
      <c r="A84" s="17"/>
      <c r="B84" s="17"/>
      <c r="C84" s="17"/>
      <c r="D84" s="155"/>
      <c r="F84"/>
      <c r="J84" s="9"/>
      <c r="K84" s="9"/>
    </row>
    <row r="85" spans="1:11">
      <c r="A85" s="17"/>
      <c r="B85" s="17"/>
      <c r="C85" s="17"/>
      <c r="D85" s="155"/>
      <c r="F85"/>
      <c r="J85" s="9"/>
      <c r="K85" s="9"/>
    </row>
    <row r="86" spans="1:11">
      <c r="A86" s="17"/>
      <c r="B86" s="17"/>
      <c r="C86" s="17"/>
      <c r="D86" s="155"/>
      <c r="F86"/>
      <c r="J86" s="9"/>
      <c r="K86" s="9"/>
    </row>
    <row r="87" spans="1:11">
      <c r="A87" s="17"/>
      <c r="B87" s="17"/>
      <c r="C87" s="17"/>
      <c r="D87" s="155"/>
      <c r="F87"/>
      <c r="J87" s="9"/>
      <c r="K87" s="9"/>
    </row>
    <row r="88" spans="1:11">
      <c r="A88" s="17"/>
      <c r="B88" s="17"/>
      <c r="C88" s="17"/>
      <c r="D88" s="155"/>
      <c r="F88"/>
      <c r="J88" s="9"/>
      <c r="K88" s="9"/>
    </row>
    <row r="89" spans="1:11">
      <c r="A89" s="17"/>
      <c r="B89" s="17"/>
      <c r="C89" s="17"/>
      <c r="D89" s="155"/>
      <c r="F89"/>
      <c r="J89" s="9"/>
      <c r="K89" s="9"/>
    </row>
    <row r="90" spans="1:11">
      <c r="A90" s="17"/>
      <c r="B90" s="17"/>
      <c r="C90" s="17"/>
      <c r="D90" s="155"/>
      <c r="F90"/>
      <c r="J90" s="9"/>
      <c r="K90" s="9"/>
    </row>
    <row r="91" spans="1:11">
      <c r="A91" s="17"/>
      <c r="B91" s="17"/>
      <c r="C91" s="17"/>
      <c r="D91" s="155"/>
      <c r="F91"/>
      <c r="J91" s="9"/>
      <c r="K91" s="9"/>
    </row>
    <row r="92" spans="1:11">
      <c r="A92" s="17"/>
      <c r="B92" s="17"/>
      <c r="C92" s="17"/>
      <c r="D92" s="155"/>
      <c r="F92"/>
      <c r="J92" s="9"/>
      <c r="K92" s="9"/>
    </row>
    <row r="93" spans="1:11">
      <c r="A93" s="17"/>
      <c r="B93" s="17"/>
      <c r="C93" s="17"/>
      <c r="D93" s="155"/>
      <c r="F93"/>
      <c r="J93" s="9"/>
      <c r="K93" s="9"/>
    </row>
    <row r="94" spans="1:11">
      <c r="A94" s="17"/>
      <c r="B94" s="17"/>
      <c r="C94" s="17"/>
      <c r="D94" s="155"/>
      <c r="F94"/>
      <c r="J94" s="9"/>
      <c r="K94" s="9"/>
    </row>
    <row r="95" spans="1:11">
      <c r="A95" s="17"/>
      <c r="B95" s="17"/>
      <c r="C95" s="17"/>
      <c r="D95" s="155"/>
      <c r="F95"/>
      <c r="J95" s="9"/>
      <c r="K95" s="9"/>
    </row>
    <row r="96" spans="1:11">
      <c r="A96" s="17"/>
      <c r="B96" s="17"/>
      <c r="C96" s="17"/>
      <c r="D96" s="155"/>
      <c r="F96"/>
      <c r="J96" s="9"/>
      <c r="K96" s="9"/>
    </row>
    <row r="97" spans="1:11">
      <c r="A97" s="17"/>
      <c r="B97" s="17"/>
      <c r="C97" s="17"/>
      <c r="D97" s="155"/>
      <c r="F97"/>
      <c r="J97" s="9"/>
      <c r="K97" s="9"/>
    </row>
    <row r="98" spans="1:11">
      <c r="A98" s="17"/>
      <c r="B98" s="17"/>
      <c r="C98" s="17"/>
      <c r="D98" s="155"/>
      <c r="F98"/>
      <c r="J98" s="9"/>
      <c r="K98" s="9"/>
    </row>
    <row r="99" spans="1:11">
      <c r="A99" s="17"/>
      <c r="B99" s="17"/>
      <c r="C99" s="17"/>
      <c r="D99" s="155"/>
      <c r="F99"/>
      <c r="J99" s="9"/>
      <c r="K99" s="9"/>
    </row>
    <row r="100" spans="1:11">
      <c r="A100" s="17"/>
      <c r="B100" s="17"/>
      <c r="C100" s="17"/>
      <c r="D100" s="155"/>
      <c r="F100"/>
      <c r="J100" s="9"/>
      <c r="K100" s="9"/>
    </row>
    <row r="101" spans="1:11">
      <c r="A101" s="17"/>
      <c r="B101" s="17"/>
      <c r="C101" s="17"/>
      <c r="D101" s="155"/>
      <c r="F101"/>
      <c r="J101" s="9"/>
      <c r="K101" s="9"/>
    </row>
    <row r="102" spans="1:11">
      <c r="A102" s="17"/>
      <c r="B102" s="17"/>
      <c r="C102" s="17"/>
      <c r="D102" s="155"/>
      <c r="F102"/>
      <c r="J102" s="9"/>
      <c r="K102" s="9"/>
    </row>
    <row r="103" spans="1:11">
      <c r="A103" s="17"/>
      <c r="B103" s="17"/>
      <c r="C103" s="17"/>
      <c r="D103" s="155"/>
      <c r="F103"/>
      <c r="J103" s="9"/>
      <c r="K103" s="9"/>
    </row>
    <row r="104" spans="1:11">
      <c r="A104" s="17"/>
      <c r="B104" s="17"/>
      <c r="C104" s="17"/>
      <c r="D104" s="155"/>
      <c r="F104"/>
      <c r="J104" s="9"/>
      <c r="K104" s="9"/>
    </row>
    <row r="105" spans="1:11">
      <c r="A105" s="17"/>
      <c r="B105" s="17"/>
      <c r="C105" s="17"/>
      <c r="D105" s="155"/>
      <c r="F105"/>
      <c r="J105" s="9"/>
      <c r="K105" s="9"/>
    </row>
    <row r="106" spans="1:11">
      <c r="A106" s="17"/>
      <c r="B106" s="17"/>
      <c r="C106" s="17"/>
      <c r="D106" s="155"/>
      <c r="F106"/>
      <c r="J106" s="9"/>
      <c r="K106" s="9"/>
    </row>
    <row r="107" spans="1:11">
      <c r="A107" s="17"/>
      <c r="B107" s="17"/>
      <c r="C107" s="17"/>
      <c r="D107" s="155"/>
      <c r="F107"/>
      <c r="J107" s="9"/>
      <c r="K107" s="9"/>
    </row>
    <row r="108" spans="1:11">
      <c r="A108" s="17"/>
      <c r="B108" s="17"/>
      <c r="C108" s="17"/>
      <c r="D108" s="155"/>
      <c r="F108"/>
      <c r="J108" s="9"/>
      <c r="K108" s="9"/>
    </row>
    <row r="109" spans="1:11">
      <c r="A109" s="17"/>
      <c r="B109" s="17"/>
      <c r="C109" s="17"/>
      <c r="D109" s="155"/>
      <c r="F109"/>
      <c r="J109" s="9"/>
      <c r="K109" s="9"/>
    </row>
    <row r="110" spans="1:11">
      <c r="A110" s="17"/>
      <c r="B110" s="17"/>
      <c r="C110" s="17"/>
      <c r="D110" s="155"/>
      <c r="F110"/>
      <c r="J110" s="9"/>
      <c r="K110" s="9"/>
    </row>
    <row r="111" spans="1:11">
      <c r="A111" s="17"/>
      <c r="B111" s="17"/>
      <c r="C111" s="17"/>
      <c r="D111" s="155"/>
      <c r="F111"/>
      <c r="J111" s="9"/>
      <c r="K111" s="9"/>
    </row>
    <row r="112" spans="1:11">
      <c r="A112" s="17"/>
      <c r="B112" s="17"/>
      <c r="C112" s="17"/>
      <c r="D112" s="155"/>
      <c r="F112"/>
      <c r="J112" s="9"/>
      <c r="K112" s="9"/>
    </row>
    <row r="113" spans="1:11">
      <c r="A113" s="17"/>
      <c r="B113" s="17"/>
      <c r="C113" s="17"/>
      <c r="D113" s="155"/>
      <c r="F113"/>
      <c r="J113" s="9"/>
      <c r="K113" s="9"/>
    </row>
    <row r="114" spans="1:11">
      <c r="A114" s="17"/>
      <c r="B114" s="17"/>
      <c r="C114" s="17"/>
      <c r="D114" s="155"/>
      <c r="F114"/>
      <c r="J114" s="9"/>
      <c r="K114" s="9"/>
    </row>
    <row r="115" spans="1:11">
      <c r="A115" s="17"/>
      <c r="B115" s="17"/>
      <c r="C115" s="17"/>
      <c r="D115" s="155"/>
      <c r="F115"/>
      <c r="J115" s="9"/>
      <c r="K115" s="9"/>
    </row>
    <row r="116" spans="1:11">
      <c r="A116" s="17"/>
      <c r="B116" s="17"/>
      <c r="C116" s="17"/>
      <c r="D116" s="155"/>
      <c r="F116"/>
      <c r="J116" s="9"/>
      <c r="K116" s="9"/>
    </row>
    <row r="117" spans="1:11">
      <c r="A117" s="17"/>
      <c r="B117" s="17"/>
      <c r="C117" s="17"/>
      <c r="D117" s="155"/>
      <c r="F117"/>
      <c r="J117" s="9"/>
      <c r="K117" s="9"/>
    </row>
    <row r="118" spans="1:11">
      <c r="A118" s="17"/>
      <c r="B118" s="17"/>
      <c r="C118" s="17"/>
      <c r="D118" s="155"/>
      <c r="F118"/>
      <c r="J118" s="9"/>
      <c r="K118" s="9"/>
    </row>
    <row r="119" spans="1:11">
      <c r="A119" s="17"/>
      <c r="B119" s="17"/>
      <c r="C119" s="17"/>
      <c r="D119" s="155"/>
      <c r="F119"/>
      <c r="J119" s="9"/>
      <c r="K119" s="9"/>
    </row>
    <row r="120" spans="1:11">
      <c r="A120" s="17"/>
      <c r="B120" s="17"/>
      <c r="C120" s="17"/>
      <c r="D120" s="155"/>
      <c r="F120"/>
      <c r="J120" s="9"/>
      <c r="K120" s="9"/>
    </row>
    <row r="121" spans="1:11">
      <c r="A121" s="17"/>
      <c r="B121" s="17"/>
      <c r="C121" s="17"/>
      <c r="D121" s="155"/>
      <c r="F121"/>
      <c r="J121" s="9"/>
      <c r="K121" s="9"/>
    </row>
    <row r="122" spans="1:11">
      <c r="A122" s="17"/>
      <c r="B122" s="17"/>
      <c r="C122" s="17"/>
      <c r="D122" s="155"/>
      <c r="F122"/>
      <c r="J122" s="9"/>
      <c r="K122" s="9"/>
    </row>
    <row r="123" spans="1:11">
      <c r="A123" s="17"/>
      <c r="B123" s="17"/>
      <c r="C123" s="17"/>
      <c r="D123" s="155"/>
      <c r="F123"/>
      <c r="J123" s="9"/>
      <c r="K123" s="9"/>
    </row>
    <row r="124" spans="1:11">
      <c r="A124" s="17"/>
      <c r="B124" s="17"/>
      <c r="C124" s="17"/>
      <c r="D124" s="155"/>
      <c r="F124"/>
      <c r="J124" s="9"/>
      <c r="K124" s="9"/>
    </row>
    <row r="125" spans="1:11">
      <c r="A125" s="17"/>
      <c r="B125" s="17"/>
      <c r="C125" s="17"/>
      <c r="D125" s="155"/>
      <c r="F125"/>
      <c r="J125" s="9"/>
      <c r="K125" s="9"/>
    </row>
    <row r="126" spans="1:11">
      <c r="A126" s="17"/>
      <c r="B126" s="17"/>
      <c r="C126" s="17"/>
      <c r="D126" s="155"/>
      <c r="F126"/>
      <c r="J126" s="9"/>
      <c r="K126" s="9"/>
    </row>
    <row r="127" spans="1:11">
      <c r="A127" s="17"/>
      <c r="B127" s="17"/>
      <c r="C127" s="17"/>
      <c r="D127" s="155"/>
      <c r="F127"/>
      <c r="J127" s="9"/>
      <c r="K127" s="9"/>
    </row>
    <row r="128" spans="1:11">
      <c r="A128" s="17"/>
      <c r="B128" s="17"/>
      <c r="C128" s="17"/>
      <c r="D128" s="155"/>
      <c r="F128"/>
      <c r="J128" s="9"/>
      <c r="K128" s="9"/>
    </row>
    <row r="129" spans="1:11">
      <c r="A129" s="17"/>
      <c r="B129" s="17"/>
      <c r="C129" s="17"/>
      <c r="D129" s="155"/>
      <c r="F129"/>
      <c r="J129" s="9"/>
      <c r="K129" s="9"/>
    </row>
    <row r="130" spans="1:11">
      <c r="A130" s="17"/>
      <c r="B130" s="17"/>
      <c r="C130" s="17"/>
      <c r="D130" s="155"/>
      <c r="F130"/>
      <c r="J130" s="9"/>
      <c r="K130" s="9"/>
    </row>
    <row r="131" spans="1:11">
      <c r="A131" s="17"/>
      <c r="B131" s="17"/>
      <c r="C131" s="17"/>
      <c r="D131" s="155"/>
      <c r="F131"/>
      <c r="J131" s="9"/>
      <c r="K131" s="9"/>
    </row>
    <row r="132" spans="1:11">
      <c r="A132" s="17"/>
      <c r="B132" s="17"/>
      <c r="C132" s="17"/>
      <c r="D132" s="155"/>
      <c r="F132"/>
      <c r="J132" s="9"/>
      <c r="K132" s="9"/>
    </row>
    <row r="133" spans="1:11">
      <c r="A133" s="17"/>
      <c r="B133" s="17"/>
      <c r="C133" s="17"/>
      <c r="D133" s="155"/>
      <c r="F133"/>
      <c r="J133" s="9"/>
      <c r="K133" s="9"/>
    </row>
    <row r="134" spans="1:11">
      <c r="A134" s="17"/>
      <c r="B134" s="17"/>
      <c r="C134" s="17"/>
      <c r="D134" s="155"/>
      <c r="F134"/>
      <c r="J134" s="9"/>
      <c r="K134" s="9"/>
    </row>
    <row r="135" spans="1:11">
      <c r="A135" s="17"/>
      <c r="B135" s="17"/>
      <c r="C135" s="17"/>
      <c r="D135" s="155"/>
      <c r="F135"/>
      <c r="J135" s="9"/>
      <c r="K135" s="9"/>
    </row>
    <row r="136" spans="1:11">
      <c r="A136" s="17"/>
      <c r="B136" s="17"/>
      <c r="C136" s="17"/>
      <c r="D136" s="155"/>
      <c r="F136"/>
      <c r="J136" s="9"/>
      <c r="K136" s="9"/>
    </row>
    <row r="137" spans="1:11">
      <c r="A137" s="17"/>
      <c r="B137" s="17"/>
      <c r="C137" s="17"/>
      <c r="D137" s="155"/>
      <c r="F137"/>
      <c r="J137" s="9"/>
      <c r="K137" s="9"/>
    </row>
    <row r="138" spans="1:11">
      <c r="A138" s="17"/>
      <c r="B138" s="17"/>
      <c r="C138" s="17"/>
      <c r="D138" s="155"/>
      <c r="F138"/>
      <c r="J138" s="9"/>
      <c r="K138" s="9"/>
    </row>
    <row r="139" spans="1:11">
      <c r="A139" s="17"/>
      <c r="B139" s="17"/>
      <c r="C139" s="17"/>
      <c r="D139" s="155"/>
      <c r="F139"/>
      <c r="J139" s="9"/>
      <c r="K139" s="9"/>
    </row>
    <row r="140" spans="1:11">
      <c r="A140" s="17"/>
      <c r="B140" s="17"/>
      <c r="C140" s="17"/>
      <c r="D140" s="155"/>
      <c r="F140"/>
      <c r="J140" s="9"/>
      <c r="K140" s="9"/>
    </row>
    <row r="141" spans="1:11">
      <c r="A141" s="17"/>
      <c r="B141" s="17"/>
      <c r="C141" s="17"/>
      <c r="D141" s="155"/>
      <c r="F141"/>
      <c r="J141" s="9"/>
      <c r="K141" s="9"/>
    </row>
    <row r="142" spans="1:11">
      <c r="A142" s="17"/>
      <c r="B142" s="17"/>
      <c r="C142" s="17"/>
      <c r="D142" s="155"/>
      <c r="F142"/>
      <c r="J142" s="9"/>
      <c r="K142" s="9"/>
    </row>
    <row r="143" spans="1:11">
      <c r="A143" s="17"/>
      <c r="B143" s="17"/>
      <c r="C143" s="17"/>
      <c r="D143" s="155"/>
      <c r="F143"/>
      <c r="J143" s="9"/>
      <c r="K143" s="9"/>
    </row>
    <row r="144" spans="1:11">
      <c r="A144" s="17"/>
      <c r="B144" s="17"/>
      <c r="C144" s="17"/>
      <c r="D144" s="155"/>
      <c r="F144"/>
      <c r="J144" s="9"/>
      <c r="K144" s="9"/>
    </row>
    <row r="145" spans="1:11">
      <c r="A145" s="17"/>
      <c r="B145" s="17"/>
      <c r="C145" s="17"/>
      <c r="D145" s="155"/>
      <c r="F145"/>
      <c r="J145" s="9"/>
      <c r="K145" s="9"/>
    </row>
    <row r="146" spans="1:11">
      <c r="A146" s="17"/>
      <c r="B146" s="17"/>
      <c r="C146" s="17"/>
      <c r="D146" s="155"/>
      <c r="F146"/>
      <c r="J146" s="9"/>
      <c r="K146" s="9"/>
    </row>
    <row r="147" spans="1:11">
      <c r="A147" s="17"/>
      <c r="B147" s="17"/>
      <c r="C147" s="17"/>
      <c r="D147" s="155"/>
      <c r="F147"/>
      <c r="J147" s="9"/>
      <c r="K147" s="9"/>
    </row>
    <row r="148" spans="1:11">
      <c r="A148" s="17"/>
      <c r="B148" s="17"/>
      <c r="C148" s="17"/>
      <c r="D148" s="155"/>
      <c r="F148"/>
      <c r="J148" s="9"/>
      <c r="K148" s="9"/>
    </row>
    <row r="149" spans="1:11">
      <c r="A149" s="17"/>
      <c r="B149" s="17"/>
      <c r="C149" s="17"/>
      <c r="D149" s="155"/>
      <c r="F149"/>
      <c r="J149" s="9"/>
      <c r="K149" s="9"/>
    </row>
    <row r="150" spans="1:11">
      <c r="A150" s="17"/>
      <c r="B150" s="17"/>
      <c r="C150" s="17"/>
      <c r="D150" s="155"/>
      <c r="F150"/>
      <c r="J150" s="9"/>
      <c r="K150" s="9"/>
    </row>
    <row r="151" spans="1:11">
      <c r="A151" s="17"/>
      <c r="B151" s="17"/>
      <c r="C151" s="17"/>
      <c r="D151" s="155"/>
      <c r="F151"/>
      <c r="J151" s="9"/>
      <c r="K151" s="9"/>
    </row>
    <row r="152" spans="1:11">
      <c r="A152" s="17"/>
      <c r="B152" s="17"/>
      <c r="C152" s="17"/>
      <c r="D152" s="155"/>
      <c r="F152"/>
      <c r="J152" s="9"/>
      <c r="K152" s="9"/>
    </row>
    <row r="153" spans="1:11">
      <c r="A153" s="17"/>
      <c r="B153" s="17"/>
      <c r="C153" s="17"/>
      <c r="D153" s="155"/>
      <c r="F153"/>
      <c r="J153" s="9"/>
      <c r="K153" s="9"/>
    </row>
    <row r="154" spans="1:11">
      <c r="A154" s="17"/>
      <c r="B154" s="17"/>
      <c r="C154" s="17"/>
      <c r="D154" s="155"/>
      <c r="F154"/>
      <c r="J154" s="9"/>
      <c r="K154" s="9"/>
    </row>
    <row r="155" spans="1:11">
      <c r="A155" s="17"/>
      <c r="B155" s="17"/>
      <c r="C155" s="17"/>
      <c r="D155" s="155"/>
      <c r="F155"/>
      <c r="J155" s="9"/>
      <c r="K155" s="9"/>
    </row>
    <row r="156" spans="1:11">
      <c r="A156" s="17"/>
      <c r="B156" s="17"/>
      <c r="C156" s="17"/>
      <c r="D156" s="155"/>
      <c r="F156"/>
      <c r="J156" s="9"/>
      <c r="K156" s="9"/>
    </row>
    <row r="157" spans="1:11">
      <c r="A157" s="17"/>
      <c r="B157" s="17"/>
      <c r="C157" s="17"/>
      <c r="D157" s="155"/>
      <c r="F157"/>
      <c r="J157" s="9"/>
      <c r="K157" s="9"/>
    </row>
    <row r="158" spans="1:11">
      <c r="A158" s="17"/>
      <c r="B158" s="17"/>
      <c r="C158" s="17"/>
      <c r="D158" s="155"/>
      <c r="F158"/>
      <c r="J158" s="9"/>
      <c r="K158" s="9"/>
    </row>
    <row r="159" spans="1:11">
      <c r="A159" s="17"/>
      <c r="B159" s="17"/>
      <c r="C159" s="17"/>
      <c r="D159" s="155"/>
      <c r="F159"/>
      <c r="J159" s="9"/>
      <c r="K159" s="9"/>
    </row>
    <row r="160" spans="1:11">
      <c r="A160" s="17"/>
      <c r="B160" s="17"/>
      <c r="C160" s="17"/>
      <c r="D160" s="155"/>
      <c r="F160"/>
      <c r="J160" s="9"/>
      <c r="K160" s="9"/>
    </row>
    <row r="161" spans="1:11">
      <c r="A161" s="17"/>
      <c r="B161" s="17"/>
      <c r="C161" s="17"/>
      <c r="D161" s="155"/>
      <c r="F161"/>
      <c r="J161" s="9"/>
      <c r="K161" s="9"/>
    </row>
    <row r="162" spans="1:11">
      <c r="A162" s="17"/>
      <c r="B162" s="17"/>
      <c r="C162" s="17"/>
      <c r="D162" s="155"/>
      <c r="F162"/>
      <c r="J162" s="9"/>
      <c r="K162" s="9"/>
    </row>
    <row r="163" spans="1:11">
      <c r="A163" s="17"/>
      <c r="B163" s="17"/>
      <c r="C163" s="17"/>
      <c r="D163" s="155"/>
      <c r="F163"/>
      <c r="J163" s="9"/>
      <c r="K163" s="9"/>
    </row>
    <row r="164" spans="1:11">
      <c r="A164" s="17"/>
      <c r="B164" s="17"/>
      <c r="C164" s="17"/>
      <c r="D164" s="155"/>
      <c r="F164"/>
      <c r="J164" s="9"/>
      <c r="K164" s="9"/>
    </row>
    <row r="165" spans="1:11">
      <c r="A165" s="17"/>
      <c r="B165" s="17"/>
      <c r="C165" s="17"/>
      <c r="D165" s="155"/>
      <c r="F165"/>
      <c r="J165" s="9"/>
      <c r="K165" s="9"/>
    </row>
    <row r="166" spans="1:11">
      <c r="A166" s="17"/>
      <c r="B166" s="17"/>
      <c r="C166" s="17"/>
      <c r="D166" s="155"/>
      <c r="F166"/>
      <c r="J166" s="9"/>
      <c r="K166" s="9"/>
    </row>
    <row r="167" spans="1:11">
      <c r="A167" s="17"/>
      <c r="B167" s="17"/>
      <c r="C167" s="17"/>
      <c r="D167" s="155"/>
      <c r="F167"/>
      <c r="J167" s="9"/>
      <c r="K167" s="9"/>
    </row>
    <row r="168" spans="1:11">
      <c r="A168" s="17"/>
      <c r="B168" s="17"/>
      <c r="C168" s="17"/>
      <c r="D168" s="155"/>
      <c r="F168"/>
      <c r="J168" s="9"/>
      <c r="K168" s="9"/>
    </row>
    <row r="169" spans="1:11">
      <c r="A169" s="17"/>
      <c r="B169" s="17"/>
      <c r="C169" s="17"/>
      <c r="D169" s="155"/>
      <c r="F169"/>
      <c r="J169" s="9"/>
      <c r="K169" s="9"/>
    </row>
    <row r="170" spans="1:11">
      <c r="A170" s="17"/>
      <c r="B170" s="17"/>
      <c r="C170" s="17"/>
      <c r="D170" s="155"/>
      <c r="F170"/>
      <c r="J170" s="9"/>
      <c r="K170" s="9"/>
    </row>
    <row r="171" spans="1:11">
      <c r="A171" s="17"/>
      <c r="B171" s="17"/>
      <c r="C171" s="17"/>
      <c r="D171" s="155"/>
      <c r="F171"/>
      <c r="J171" s="9"/>
      <c r="K171" s="9"/>
    </row>
    <row r="172" spans="1:11">
      <c r="A172" s="17"/>
      <c r="B172" s="17"/>
      <c r="C172" s="17"/>
      <c r="D172" s="155"/>
      <c r="F172"/>
      <c r="J172" s="9"/>
      <c r="K172" s="9"/>
    </row>
    <row r="173" spans="1:11">
      <c r="A173" s="17"/>
      <c r="B173" s="17"/>
      <c r="C173" s="17"/>
      <c r="D173" s="155"/>
      <c r="F173"/>
      <c r="J173" s="9"/>
      <c r="K173" s="9"/>
    </row>
    <row r="174" spans="1:11">
      <c r="A174" s="17"/>
      <c r="B174" s="17"/>
      <c r="C174" s="17"/>
      <c r="D174" s="155"/>
      <c r="F174"/>
      <c r="J174" s="9"/>
      <c r="K174" s="9"/>
    </row>
    <row r="175" spans="1:11">
      <c r="A175" s="17"/>
      <c r="B175" s="17"/>
      <c r="C175" s="17"/>
      <c r="D175" s="155"/>
      <c r="F175"/>
      <c r="J175" s="9"/>
      <c r="K175" s="9"/>
    </row>
    <row r="176" spans="1:11">
      <c r="A176" s="17"/>
      <c r="B176" s="17"/>
      <c r="C176" s="17"/>
      <c r="D176" s="155"/>
      <c r="F176"/>
      <c r="J176" s="9"/>
      <c r="K176" s="9"/>
    </row>
    <row r="177" spans="1:11">
      <c r="A177" s="17"/>
      <c r="B177" s="17"/>
      <c r="C177" s="17"/>
      <c r="D177" s="155"/>
      <c r="F177"/>
      <c r="J177" s="9"/>
      <c r="K177" s="9"/>
    </row>
    <row r="178" spans="1:11">
      <c r="A178" s="17"/>
      <c r="B178" s="17"/>
      <c r="C178" s="17"/>
      <c r="D178" s="155"/>
      <c r="F178"/>
      <c r="J178" s="9"/>
      <c r="K178" s="9"/>
    </row>
    <row r="179" spans="1:11">
      <c r="A179" s="17"/>
      <c r="B179" s="17"/>
      <c r="C179" s="17"/>
      <c r="D179" s="155"/>
      <c r="F179"/>
      <c r="J179" s="9"/>
      <c r="K179" s="9"/>
    </row>
    <row r="180" spans="1:11">
      <c r="A180" s="17"/>
      <c r="B180" s="17"/>
      <c r="C180" s="17"/>
      <c r="D180" s="155"/>
      <c r="F180"/>
      <c r="J180" s="9"/>
      <c r="K180" s="9"/>
    </row>
    <row r="181" spans="1:11">
      <c r="A181" s="17"/>
      <c r="B181" s="17"/>
      <c r="C181" s="17"/>
      <c r="D181" s="155"/>
      <c r="F181"/>
      <c r="J181" s="9"/>
      <c r="K181" s="9"/>
    </row>
    <row r="182" spans="1:11">
      <c r="A182" s="17"/>
      <c r="B182" s="17"/>
      <c r="C182" s="17"/>
      <c r="D182" s="155"/>
      <c r="F182"/>
      <c r="J182" s="9"/>
      <c r="K182" s="9"/>
    </row>
    <row r="183" spans="1:11">
      <c r="A183" s="17"/>
      <c r="B183" s="17"/>
      <c r="C183" s="17"/>
      <c r="D183" s="155"/>
      <c r="F183"/>
      <c r="J183" s="9"/>
      <c r="K183" s="9"/>
    </row>
    <row r="184" spans="1:11">
      <c r="A184" s="17"/>
      <c r="B184" s="17"/>
      <c r="C184" s="17"/>
      <c r="D184" s="155"/>
      <c r="F184"/>
      <c r="J184" s="9"/>
      <c r="K184" s="9"/>
    </row>
    <row r="185" spans="1:11">
      <c r="A185" s="17"/>
      <c r="B185" s="17"/>
      <c r="C185" s="17"/>
      <c r="D185" s="155"/>
      <c r="F185"/>
      <c r="J185" s="9"/>
      <c r="K185" s="9"/>
    </row>
    <row r="186" spans="1:11">
      <c r="A186" s="17"/>
      <c r="B186" s="17"/>
      <c r="C186" s="17"/>
      <c r="D186" s="155"/>
      <c r="F186"/>
      <c r="J186" s="9"/>
      <c r="K186" s="9"/>
    </row>
    <row r="187" spans="1:11">
      <c r="A187" s="17"/>
      <c r="B187" s="17"/>
      <c r="C187" s="17"/>
      <c r="D187" s="155"/>
      <c r="F187"/>
      <c r="J187" s="9"/>
      <c r="K187" s="9"/>
    </row>
    <row r="188" spans="1:11">
      <c r="A188" s="17"/>
      <c r="B188" s="17"/>
      <c r="C188" s="17"/>
      <c r="D188" s="155"/>
      <c r="F188"/>
      <c r="J188" s="9"/>
      <c r="K188" s="9"/>
    </row>
    <row r="189" spans="1:11">
      <c r="A189" s="17"/>
      <c r="B189" s="17"/>
      <c r="C189" s="17"/>
      <c r="D189" s="155"/>
      <c r="F189"/>
      <c r="J189" s="9"/>
      <c r="K189" s="9"/>
    </row>
    <row r="190" spans="1:11">
      <c r="A190" s="17"/>
      <c r="B190" s="17"/>
      <c r="C190" s="17"/>
      <c r="D190" s="155"/>
      <c r="F190"/>
      <c r="J190" s="9"/>
      <c r="K190" s="9"/>
    </row>
    <row r="191" spans="1:11">
      <c r="A191" s="17"/>
      <c r="B191" s="17"/>
      <c r="C191" s="17"/>
      <c r="D191" s="155"/>
      <c r="F191"/>
      <c r="J191" s="9"/>
      <c r="K191" s="9"/>
    </row>
    <row r="192" spans="1:11">
      <c r="A192" s="17"/>
      <c r="B192" s="17"/>
      <c r="C192" s="17"/>
      <c r="D192" s="155"/>
      <c r="F192"/>
      <c r="J192" s="9"/>
      <c r="K192" s="9"/>
    </row>
    <row r="193" spans="1:11">
      <c r="A193" s="17"/>
      <c r="B193" s="17"/>
      <c r="C193" s="17"/>
      <c r="D193" s="155"/>
      <c r="F193"/>
      <c r="J193" s="9"/>
      <c r="K193" s="9"/>
    </row>
    <row r="194" spans="1:11">
      <c r="A194" s="17"/>
      <c r="B194" s="17"/>
      <c r="C194" s="17"/>
      <c r="D194" s="155"/>
      <c r="F194"/>
      <c r="J194" s="9"/>
      <c r="K194" s="9"/>
    </row>
    <row r="195" spans="1:11">
      <c r="A195" s="17"/>
      <c r="B195" s="17"/>
      <c r="C195" s="17"/>
      <c r="D195" s="155"/>
      <c r="F195"/>
      <c r="J195" s="9"/>
      <c r="K195" s="9"/>
    </row>
    <row r="196" spans="1:11">
      <c r="A196" s="17"/>
      <c r="B196" s="17"/>
      <c r="C196" s="17"/>
      <c r="D196" s="155"/>
      <c r="F196"/>
      <c r="J196" s="9"/>
      <c r="K196" s="9"/>
    </row>
    <row r="197" spans="1:11">
      <c r="A197" s="17"/>
      <c r="B197" s="17"/>
      <c r="C197" s="17"/>
      <c r="D197" s="155"/>
      <c r="F197"/>
      <c r="J197" s="9"/>
      <c r="K197" s="9"/>
    </row>
    <row r="198" spans="1:11">
      <c r="A198" s="17"/>
      <c r="B198" s="17"/>
      <c r="C198" s="17"/>
      <c r="D198" s="155"/>
      <c r="F198"/>
      <c r="J198" s="9"/>
      <c r="K198" s="9"/>
    </row>
    <row r="199" spans="1:11">
      <c r="A199" s="17"/>
      <c r="B199" s="17"/>
      <c r="C199" s="17"/>
      <c r="D199" s="155"/>
      <c r="F199"/>
      <c r="J199" s="9"/>
      <c r="K199" s="9"/>
    </row>
    <row r="200" spans="1:11">
      <c r="A200" s="17"/>
      <c r="B200" s="17"/>
      <c r="C200" s="17"/>
      <c r="D200" s="155"/>
      <c r="F200"/>
      <c r="J200" s="9"/>
      <c r="K200" s="9"/>
    </row>
    <row r="201" spans="1:11">
      <c r="A201" s="17"/>
      <c r="B201" s="17"/>
      <c r="C201" s="17"/>
      <c r="D201" s="155"/>
      <c r="F201"/>
      <c r="J201" s="9"/>
      <c r="K201" s="9"/>
    </row>
    <row r="202" spans="1:11">
      <c r="A202" s="17"/>
      <c r="B202" s="17"/>
      <c r="C202" s="17"/>
      <c r="D202" s="155"/>
      <c r="F202"/>
      <c r="J202" s="9"/>
      <c r="K202" s="9"/>
    </row>
    <row r="203" spans="1:11">
      <c r="A203" s="17"/>
      <c r="B203" s="17"/>
      <c r="C203" s="17"/>
      <c r="D203" s="155"/>
      <c r="F203"/>
      <c r="J203" s="9"/>
      <c r="K203" s="9"/>
    </row>
    <row r="204" spans="1:11">
      <c r="A204" s="17"/>
      <c r="B204" s="17"/>
      <c r="C204" s="17"/>
      <c r="D204" s="155"/>
      <c r="F204"/>
      <c r="J204" s="9"/>
      <c r="K204" s="9"/>
    </row>
    <row r="205" spans="1:11">
      <c r="A205" s="17"/>
      <c r="B205" s="17"/>
      <c r="C205" s="17"/>
      <c r="D205" s="155"/>
      <c r="F205"/>
      <c r="J205" s="9"/>
      <c r="K205" s="9"/>
    </row>
    <row r="206" spans="1:11">
      <c r="A206" s="17"/>
      <c r="B206" s="17"/>
      <c r="C206" s="17"/>
      <c r="D206" s="155"/>
      <c r="F206"/>
      <c r="J206" s="9"/>
      <c r="K206" s="9"/>
    </row>
    <row r="207" spans="1:11">
      <c r="A207" s="17"/>
      <c r="B207" s="17"/>
      <c r="C207" s="17"/>
      <c r="D207" s="155"/>
      <c r="F207"/>
      <c r="J207" s="9"/>
      <c r="K207" s="9"/>
    </row>
    <row r="208" spans="1:11">
      <c r="A208" s="17"/>
      <c r="B208" s="17"/>
      <c r="C208" s="17"/>
      <c r="D208" s="155"/>
      <c r="F208"/>
      <c r="J208" s="9"/>
      <c r="K208" s="9"/>
    </row>
    <row r="209" spans="1:11">
      <c r="A209" s="17"/>
      <c r="B209" s="17"/>
      <c r="C209" s="17"/>
      <c r="D209" s="155"/>
      <c r="F209"/>
      <c r="J209" s="9"/>
      <c r="K209" s="9"/>
    </row>
    <row r="210" spans="1:11">
      <c r="A210" s="17"/>
      <c r="B210" s="17"/>
      <c r="C210" s="17"/>
      <c r="D210" s="155"/>
      <c r="F210"/>
      <c r="J210" s="9"/>
      <c r="K210" s="9"/>
    </row>
    <row r="211" spans="1:11">
      <c r="A211" s="17"/>
      <c r="B211" s="17"/>
      <c r="C211" s="17"/>
      <c r="D211" s="155"/>
      <c r="F211"/>
      <c r="J211" s="9"/>
      <c r="K211" s="9"/>
    </row>
    <row r="212" spans="1:11">
      <c r="A212" s="17"/>
      <c r="B212" s="17"/>
      <c r="C212" s="17"/>
      <c r="D212" s="155"/>
      <c r="F212"/>
      <c r="J212" s="9"/>
      <c r="K212" s="9"/>
    </row>
    <row r="213" spans="1:11">
      <c r="A213" s="17"/>
      <c r="B213" s="17"/>
      <c r="C213" s="17"/>
      <c r="D213" s="155"/>
      <c r="F213"/>
      <c r="J213" s="9"/>
      <c r="K213" s="9"/>
    </row>
    <row r="214" spans="1:11">
      <c r="A214" s="17"/>
      <c r="B214" s="17"/>
      <c r="C214" s="17"/>
      <c r="D214" s="155"/>
      <c r="F214"/>
      <c r="J214" s="9"/>
      <c r="K214" s="9"/>
    </row>
    <row r="215" spans="1:11">
      <c r="A215" s="17"/>
      <c r="B215" s="17"/>
      <c r="C215" s="17"/>
      <c r="D215" s="155"/>
      <c r="F215"/>
      <c r="J215" s="9"/>
      <c r="K215" s="9"/>
    </row>
    <row r="216" spans="1:11">
      <c r="A216" s="17"/>
      <c r="B216" s="17"/>
      <c r="C216" s="17"/>
      <c r="D216" s="155"/>
      <c r="F216"/>
      <c r="J216" s="9"/>
      <c r="K216" s="9"/>
    </row>
    <row r="217" spans="1:11">
      <c r="A217" s="17"/>
      <c r="B217" s="17"/>
      <c r="C217" s="17"/>
      <c r="D217" s="155"/>
      <c r="F217"/>
      <c r="J217" s="9"/>
      <c r="K217" s="9"/>
    </row>
    <row r="218" spans="1:11">
      <c r="A218" s="17"/>
      <c r="B218" s="17"/>
      <c r="C218" s="17"/>
      <c r="D218" s="155"/>
      <c r="F218"/>
      <c r="J218" s="9"/>
      <c r="K218" s="9"/>
    </row>
    <row r="219" spans="1:11">
      <c r="A219" s="17"/>
      <c r="B219" s="17"/>
      <c r="C219" s="17"/>
      <c r="D219" s="155"/>
      <c r="F219"/>
      <c r="J219" s="9"/>
      <c r="K219" s="9"/>
    </row>
    <row r="220" spans="1:11">
      <c r="A220" s="17"/>
      <c r="B220" s="17"/>
      <c r="C220" s="17"/>
      <c r="D220" s="155"/>
      <c r="F220"/>
      <c r="J220" s="9"/>
      <c r="K220" s="9"/>
    </row>
    <row r="221" spans="1:11">
      <c r="A221" s="17"/>
      <c r="B221" s="17"/>
      <c r="C221" s="17"/>
      <c r="D221" s="155"/>
      <c r="F221"/>
      <c r="J221" s="9"/>
      <c r="K221" s="9"/>
    </row>
    <row r="222" spans="1:11">
      <c r="A222" s="17"/>
      <c r="B222" s="17"/>
      <c r="C222" s="17"/>
      <c r="D222" s="155"/>
      <c r="F222"/>
      <c r="J222" s="9"/>
      <c r="K222" s="9"/>
    </row>
    <row r="223" spans="1:11">
      <c r="A223" s="17"/>
      <c r="B223" s="17"/>
      <c r="C223" s="17"/>
      <c r="D223" s="155"/>
      <c r="F223"/>
      <c r="J223" s="9"/>
      <c r="K223" s="9"/>
    </row>
    <row r="224" spans="1:11">
      <c r="A224" s="17"/>
      <c r="B224" s="17"/>
      <c r="C224" s="17"/>
      <c r="D224" s="155"/>
      <c r="F224"/>
      <c r="J224" s="9"/>
      <c r="K224" s="9"/>
    </row>
  </sheetData>
  <autoFilter ref="A21:K224" xr:uid="{00000000-0009-0000-0000-000007000000}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"/>
  <sheetViews>
    <sheetView workbookViewId="0">
      <selection activeCell="E10" sqref="E10"/>
    </sheetView>
  </sheetViews>
  <sheetFormatPr defaultColWidth="9" defaultRowHeight="14.5"/>
  <cols>
    <col min="1" max="1" width="10.6328125" customWidth="1"/>
    <col min="2" max="2" width="13.36328125" hidden="1" customWidth="1"/>
    <col min="3" max="3" width="9.6328125" customWidth="1"/>
    <col min="9" max="9" width="9.54296875" customWidth="1"/>
    <col min="10" max="10" width="8.54296875" customWidth="1"/>
  </cols>
  <sheetData>
    <row r="1" spans="1:11" ht="18.5">
      <c r="A1" s="1077" t="s">
        <v>594</v>
      </c>
      <c r="B1" s="647"/>
      <c r="C1" s="647"/>
      <c r="D1" s="647"/>
      <c r="E1" s="647"/>
      <c r="F1" s="647"/>
      <c r="G1" s="647"/>
      <c r="H1" s="647"/>
      <c r="I1" s="647"/>
      <c r="J1" s="647"/>
    </row>
    <row r="2" spans="1:11" ht="15.5">
      <c r="A2" s="136" t="s">
        <v>595</v>
      </c>
      <c r="B2" s="136" t="s">
        <v>596</v>
      </c>
      <c r="C2" s="137" t="s">
        <v>597</v>
      </c>
      <c r="D2" s="137" t="s">
        <v>598</v>
      </c>
      <c r="E2" s="137" t="s">
        <v>599</v>
      </c>
      <c r="F2" s="137" t="s">
        <v>600</v>
      </c>
      <c r="G2" s="137" t="s">
        <v>601</v>
      </c>
      <c r="H2" s="137" t="s">
        <v>602</v>
      </c>
      <c r="I2" s="137" t="s">
        <v>603</v>
      </c>
      <c r="J2" s="143" t="s">
        <v>604</v>
      </c>
      <c r="K2" s="143" t="s">
        <v>437</v>
      </c>
    </row>
    <row r="3" spans="1:11">
      <c r="A3" s="138" t="s">
        <v>539</v>
      </c>
      <c r="B3" s="24"/>
      <c r="C3" s="24">
        <v>0</v>
      </c>
      <c r="D3" s="24">
        <v>0</v>
      </c>
      <c r="E3" s="24">
        <v>1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136">
        <v>1</v>
      </c>
    </row>
    <row r="4" spans="1:11">
      <c r="A4" s="138" t="s">
        <v>540</v>
      </c>
      <c r="B4" s="24"/>
      <c r="C4" s="24">
        <v>1</v>
      </c>
      <c r="D4" s="24">
        <v>4</v>
      </c>
      <c r="E4" s="24">
        <v>0</v>
      </c>
      <c r="F4" s="24">
        <v>2</v>
      </c>
      <c r="G4" s="24">
        <v>0</v>
      </c>
      <c r="H4" s="24">
        <v>0</v>
      </c>
      <c r="I4" s="24">
        <v>0</v>
      </c>
      <c r="J4" s="24">
        <v>0</v>
      </c>
      <c r="K4" s="136">
        <f>C4+D4+E4+F4+G4+H4+I4+J4</f>
        <v>7</v>
      </c>
    </row>
    <row r="5" spans="1:11">
      <c r="A5" s="138" t="s">
        <v>541</v>
      </c>
      <c r="B5" s="24"/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136">
        <v>0</v>
      </c>
    </row>
    <row r="6" spans="1:11">
      <c r="A6" s="138" t="s">
        <v>542</v>
      </c>
      <c r="B6" s="24"/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136">
        <v>0</v>
      </c>
    </row>
    <row r="7" spans="1:11">
      <c r="A7" s="138" t="s">
        <v>543</v>
      </c>
      <c r="B7" s="24"/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136">
        <v>0</v>
      </c>
    </row>
    <row r="8" spans="1:11">
      <c r="A8" s="138" t="s">
        <v>605</v>
      </c>
      <c r="B8" s="24"/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136">
        <v>0</v>
      </c>
    </row>
    <row r="9" spans="1:11">
      <c r="A9" s="139" t="s">
        <v>606</v>
      </c>
      <c r="B9" s="140"/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4">
        <v>0</v>
      </c>
    </row>
    <row r="10" spans="1:11">
      <c r="A10" s="139" t="s">
        <v>534</v>
      </c>
      <c r="B10" s="140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5">
        <v>0</v>
      </c>
    </row>
    <row r="11" spans="1:11">
      <c r="A11" s="139" t="s">
        <v>535</v>
      </c>
      <c r="B11" s="140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4">
        <v>0</v>
      </c>
    </row>
    <row r="12" spans="1:11">
      <c r="A12" s="139" t="s">
        <v>536</v>
      </c>
      <c r="B12" s="140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4">
        <v>0</v>
      </c>
    </row>
    <row r="13" spans="1:11">
      <c r="A13" s="139" t="s">
        <v>537</v>
      </c>
      <c r="B13" s="140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4">
        <v>0</v>
      </c>
    </row>
    <row r="14" spans="1:11">
      <c r="A14" s="139" t="s">
        <v>538</v>
      </c>
      <c r="B14" s="140"/>
      <c r="C14" s="141">
        <v>0</v>
      </c>
      <c r="D14" s="141">
        <v>0</v>
      </c>
      <c r="E14" s="141">
        <v>0</v>
      </c>
      <c r="F14" s="141">
        <v>0</v>
      </c>
      <c r="G14" s="141">
        <v>0</v>
      </c>
      <c r="H14" s="141">
        <v>0</v>
      </c>
      <c r="I14" s="141">
        <v>0</v>
      </c>
      <c r="J14" s="141">
        <v>0</v>
      </c>
      <c r="K14" s="144">
        <v>0</v>
      </c>
    </row>
    <row r="15" spans="1:11">
      <c r="A15" s="142"/>
      <c r="K15" s="146">
        <f>K3+K4+K5+K6+K7+K8+K9+K10+K11+K12+K13+K14</f>
        <v>8</v>
      </c>
    </row>
    <row r="16" spans="1:11">
      <c r="A16" s="142"/>
    </row>
    <row r="17" spans="1:1">
      <c r="A17" s="142"/>
    </row>
    <row r="18" spans="1:1">
      <c r="A18" s="142"/>
    </row>
    <row r="19" spans="1:1">
      <c r="A19" s="142"/>
    </row>
  </sheetData>
  <mergeCells count="1">
    <mergeCell ref="A1:J1"/>
  </mergeCells>
  <conditionalFormatting sqref="B9:K9 E10:E14">
    <cfRule type="cellIs" dxfId="2" priority="8" operator="greaterThan">
      <formula>0</formula>
    </cfRule>
  </conditionalFormatting>
  <conditionalFormatting sqref="C3:K8">
    <cfRule type="cellIs" dxfId="1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768059327982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68059327982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0" priority="7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88"/>
  <sheetViews>
    <sheetView workbookViewId="0">
      <selection activeCell="G27" sqref="G27"/>
    </sheetView>
  </sheetViews>
  <sheetFormatPr defaultColWidth="9" defaultRowHeight="14.5"/>
  <cols>
    <col min="1" max="1" width="36.453125" customWidth="1"/>
    <col min="2" max="2" width="12.90625" customWidth="1"/>
    <col min="3" max="3" width="8.984375E-2" customWidth="1"/>
    <col min="4" max="5" width="7.453125" customWidth="1"/>
    <col min="6" max="7" width="10.08984375" customWidth="1"/>
    <col min="8" max="8" width="8.453125" customWidth="1"/>
  </cols>
  <sheetData>
    <row r="1" spans="1:8" ht="10.5" customHeight="1">
      <c r="A1" s="1078" t="s">
        <v>607</v>
      </c>
      <c r="B1" s="1079"/>
      <c r="C1" s="1079"/>
      <c r="D1" s="1079"/>
      <c r="E1" s="1079"/>
      <c r="F1" s="1079"/>
      <c r="G1" s="1079"/>
      <c r="H1" s="1079"/>
    </row>
    <row r="2" spans="1:8" ht="10.5" customHeight="1">
      <c r="A2" s="107" t="s">
        <v>608</v>
      </c>
      <c r="B2" s="108" t="s">
        <v>609</v>
      </c>
      <c r="C2" s="108" t="s">
        <v>610</v>
      </c>
      <c r="D2" s="109" t="s">
        <v>9</v>
      </c>
      <c r="E2" s="109" t="s">
        <v>5</v>
      </c>
      <c r="F2" s="109" t="s">
        <v>6</v>
      </c>
      <c r="G2" s="109" t="s">
        <v>7</v>
      </c>
      <c r="H2" s="109" t="s">
        <v>8</v>
      </c>
    </row>
    <row r="3" spans="1:8" ht="10.5" hidden="1" customHeight="1">
      <c r="A3" s="110" t="s">
        <v>611</v>
      </c>
      <c r="B3" s="111" t="s">
        <v>612</v>
      </c>
      <c r="C3" s="112"/>
      <c r="D3" s="113"/>
      <c r="E3" s="113"/>
      <c r="F3" s="113"/>
      <c r="G3" s="113"/>
      <c r="H3" s="113"/>
    </row>
    <row r="4" spans="1:8" ht="10.5" customHeight="1">
      <c r="A4" s="110" t="s">
        <v>611</v>
      </c>
      <c r="B4" s="111" t="s">
        <v>394</v>
      </c>
      <c r="C4" s="114"/>
      <c r="D4" s="115"/>
      <c r="E4" s="116"/>
      <c r="F4" s="115"/>
      <c r="G4" s="115"/>
      <c r="H4" s="115"/>
    </row>
    <row r="5" spans="1:8" ht="10.5" customHeight="1">
      <c r="A5" s="110" t="s">
        <v>611</v>
      </c>
      <c r="B5" s="111" t="s">
        <v>331</v>
      </c>
      <c r="C5" s="114"/>
      <c r="D5" s="115"/>
      <c r="E5" s="115"/>
      <c r="F5" s="115"/>
      <c r="G5" s="115"/>
      <c r="H5" s="115"/>
    </row>
    <row r="6" spans="1:8" ht="10.5" customHeight="1">
      <c r="A6" s="110" t="s">
        <v>613</v>
      </c>
      <c r="B6" s="111" t="s">
        <v>511</v>
      </c>
      <c r="C6" s="112"/>
      <c r="D6" s="117"/>
      <c r="E6" s="115"/>
      <c r="F6" s="115"/>
      <c r="G6" s="115"/>
      <c r="H6" s="115"/>
    </row>
    <row r="7" spans="1:8" ht="10.5" customHeight="1">
      <c r="A7" s="110" t="s">
        <v>613</v>
      </c>
      <c r="B7" s="111" t="s">
        <v>516</v>
      </c>
      <c r="C7" s="113"/>
      <c r="D7" s="115"/>
      <c r="E7" s="115"/>
      <c r="F7" s="116"/>
      <c r="G7" s="115"/>
      <c r="H7" s="115"/>
    </row>
    <row r="8" spans="1:8" ht="10.5" customHeight="1">
      <c r="A8" s="110" t="s">
        <v>613</v>
      </c>
      <c r="B8" s="111" t="s">
        <v>521</v>
      </c>
      <c r="C8" s="113"/>
      <c r="D8" s="115"/>
      <c r="E8" s="115"/>
      <c r="F8" s="115"/>
      <c r="G8" s="115"/>
      <c r="H8" s="115"/>
    </row>
    <row r="9" spans="1:8" ht="10.5" customHeight="1">
      <c r="A9" s="110" t="s">
        <v>613</v>
      </c>
      <c r="B9" s="111" t="s">
        <v>614</v>
      </c>
      <c r="C9" s="113"/>
      <c r="D9" s="115"/>
      <c r="E9" s="115"/>
      <c r="F9" s="115"/>
      <c r="G9" s="115"/>
      <c r="H9" s="115"/>
    </row>
    <row r="10" spans="1:8" ht="10.5" customHeight="1">
      <c r="A10" s="110" t="s">
        <v>615</v>
      </c>
      <c r="B10" s="111" t="s">
        <v>616</v>
      </c>
      <c r="C10" s="112"/>
      <c r="D10" s="115"/>
      <c r="E10" s="115"/>
      <c r="F10" s="115"/>
      <c r="G10" s="115"/>
      <c r="H10" s="115"/>
    </row>
    <row r="11" spans="1:8" ht="10.5" customHeight="1">
      <c r="A11" s="110" t="s">
        <v>615</v>
      </c>
      <c r="B11" s="111" t="s">
        <v>518</v>
      </c>
      <c r="C11" s="112"/>
      <c r="D11" s="115"/>
      <c r="E11" s="115"/>
      <c r="F11" s="115"/>
      <c r="G11" s="115"/>
      <c r="H11" s="115"/>
    </row>
    <row r="12" spans="1:8" ht="10.5" customHeight="1">
      <c r="A12" s="110" t="s">
        <v>615</v>
      </c>
      <c r="B12" s="111" t="s">
        <v>523</v>
      </c>
      <c r="C12" s="114"/>
      <c r="D12" s="115"/>
      <c r="E12" s="115"/>
      <c r="F12" s="115"/>
      <c r="G12" s="115"/>
      <c r="H12" s="116"/>
    </row>
    <row r="13" spans="1:8" ht="10.5" customHeight="1">
      <c r="A13" s="110" t="s">
        <v>617</v>
      </c>
      <c r="B13" s="111" t="s">
        <v>618</v>
      </c>
      <c r="C13" s="112"/>
      <c r="D13" s="115"/>
      <c r="E13" s="115"/>
      <c r="F13" s="115"/>
      <c r="G13" s="115"/>
      <c r="H13" s="115"/>
    </row>
    <row r="14" spans="1:8" ht="10.5" customHeight="1">
      <c r="A14" s="110" t="s">
        <v>619</v>
      </c>
      <c r="B14" s="111" t="s">
        <v>517</v>
      </c>
      <c r="C14" s="112"/>
      <c r="D14" s="115"/>
      <c r="E14" s="115"/>
      <c r="F14" s="115"/>
      <c r="G14" s="115"/>
      <c r="H14" s="115"/>
    </row>
    <row r="15" spans="1:8" ht="10.5" customHeight="1">
      <c r="A15" s="110" t="s">
        <v>619</v>
      </c>
      <c r="B15" s="118" t="s">
        <v>512</v>
      </c>
      <c r="C15" s="112"/>
      <c r="D15" s="115"/>
      <c r="E15" s="115"/>
      <c r="F15" s="115"/>
      <c r="G15" s="115"/>
      <c r="H15" s="116"/>
    </row>
    <row r="16" spans="1:8" ht="10.5" customHeight="1">
      <c r="A16" s="110" t="s">
        <v>620</v>
      </c>
      <c r="B16" s="111" t="s">
        <v>621</v>
      </c>
      <c r="C16" s="114"/>
      <c r="D16" s="115"/>
      <c r="E16" s="115"/>
      <c r="F16" s="116"/>
      <c r="G16" s="115"/>
      <c r="H16" s="115"/>
    </row>
    <row r="17" spans="1:8" ht="10.5" customHeight="1">
      <c r="A17" s="119" t="s">
        <v>622</v>
      </c>
      <c r="B17" s="120" t="s">
        <v>470</v>
      </c>
      <c r="C17" s="112"/>
      <c r="D17" s="115"/>
      <c r="E17" s="115"/>
      <c r="F17" s="115"/>
      <c r="G17" s="115"/>
      <c r="H17" s="115"/>
    </row>
    <row r="18" spans="1:8" ht="10.5" customHeight="1">
      <c r="A18" s="110" t="s">
        <v>623</v>
      </c>
      <c r="B18" s="111" t="s">
        <v>624</v>
      </c>
      <c r="C18" s="112"/>
      <c r="D18" s="115"/>
      <c r="E18" s="115"/>
      <c r="F18" s="115"/>
      <c r="G18" s="115"/>
      <c r="H18" s="115"/>
    </row>
    <row r="19" spans="1:8" ht="10.5" customHeight="1">
      <c r="A19" s="110" t="s">
        <v>625</v>
      </c>
      <c r="B19" s="111" t="s">
        <v>626</v>
      </c>
      <c r="C19" s="112"/>
      <c r="D19" s="115"/>
      <c r="E19" s="115"/>
      <c r="F19" s="115"/>
      <c r="G19" s="115"/>
      <c r="H19" s="115"/>
    </row>
    <row r="20" spans="1:8" ht="10.5" customHeight="1">
      <c r="A20" s="110" t="s">
        <v>625</v>
      </c>
      <c r="B20" s="111" t="s">
        <v>627</v>
      </c>
      <c r="C20" s="112"/>
      <c r="D20" s="115"/>
      <c r="E20" s="115"/>
      <c r="F20" s="116"/>
      <c r="G20" s="115"/>
      <c r="H20" s="115"/>
    </row>
    <row r="21" spans="1:8" ht="10.5" customHeight="1">
      <c r="A21" s="119" t="s">
        <v>625</v>
      </c>
      <c r="B21" s="120" t="s">
        <v>628</v>
      </c>
      <c r="C21" s="112"/>
      <c r="D21" s="115"/>
      <c r="E21" s="115"/>
      <c r="F21" s="115"/>
      <c r="G21" s="115"/>
      <c r="H21" s="115"/>
    </row>
    <row r="22" spans="1:8" ht="10.5" customHeight="1">
      <c r="A22" s="119" t="s">
        <v>625</v>
      </c>
      <c r="B22" s="121" t="s">
        <v>629</v>
      </c>
      <c r="C22" s="112"/>
      <c r="D22" s="115"/>
      <c r="E22" s="115"/>
      <c r="F22" s="115"/>
      <c r="G22" s="115"/>
      <c r="H22" s="115"/>
    </row>
    <row r="23" spans="1:8" ht="10.5" customHeight="1">
      <c r="A23" s="110" t="s">
        <v>630</v>
      </c>
      <c r="B23" s="111" t="s">
        <v>631</v>
      </c>
      <c r="C23" s="112"/>
      <c r="D23" s="115"/>
      <c r="E23" s="115"/>
      <c r="F23" s="115"/>
      <c r="G23" s="115"/>
      <c r="H23" s="115"/>
    </row>
    <row r="24" spans="1:8" ht="10.5" customHeight="1">
      <c r="A24" s="110" t="s">
        <v>623</v>
      </c>
      <c r="B24" s="111" t="s">
        <v>632</v>
      </c>
      <c r="C24" s="112"/>
      <c r="D24" s="115"/>
      <c r="E24" s="115"/>
      <c r="F24" s="115"/>
      <c r="G24" s="115"/>
      <c r="H24" s="115"/>
    </row>
    <row r="25" spans="1:8" ht="10.5" customHeight="1">
      <c r="A25" s="110" t="s">
        <v>633</v>
      </c>
      <c r="B25" s="118" t="s">
        <v>484</v>
      </c>
      <c r="C25" s="112"/>
      <c r="D25" s="115"/>
      <c r="E25" s="116"/>
      <c r="F25" s="115"/>
      <c r="G25" s="115"/>
      <c r="H25" s="115"/>
    </row>
    <row r="26" spans="1:8" ht="10.5" customHeight="1">
      <c r="A26" s="110" t="s">
        <v>634</v>
      </c>
      <c r="B26" s="111" t="s">
        <v>352</v>
      </c>
      <c r="C26" s="113"/>
      <c r="D26" s="115"/>
      <c r="E26" s="115"/>
      <c r="F26" s="115"/>
      <c r="G26" s="115"/>
      <c r="H26" s="115"/>
    </row>
    <row r="27" spans="1:8" ht="10.5" customHeight="1">
      <c r="A27" s="113" t="s">
        <v>635</v>
      </c>
      <c r="B27" s="122" t="s">
        <v>591</v>
      </c>
      <c r="C27" s="113"/>
      <c r="D27" s="115"/>
      <c r="E27" s="115"/>
      <c r="F27" s="115"/>
      <c r="G27" s="115"/>
      <c r="H27" s="115"/>
    </row>
    <row r="28" spans="1:8" ht="10.5" customHeight="1">
      <c r="A28" s="113" t="s">
        <v>635</v>
      </c>
      <c r="B28" s="122" t="s">
        <v>636</v>
      </c>
      <c r="C28" s="113"/>
      <c r="D28" s="115"/>
      <c r="E28" s="115"/>
      <c r="F28" s="115"/>
      <c r="G28" s="115"/>
      <c r="H28" s="115"/>
    </row>
    <row r="29" spans="1:8" ht="10.5" customHeight="1">
      <c r="A29" s="113" t="s">
        <v>637</v>
      </c>
      <c r="B29" s="122" t="s">
        <v>638</v>
      </c>
      <c r="C29" s="113"/>
      <c r="D29" s="115"/>
      <c r="E29" s="115"/>
      <c r="F29" s="115"/>
      <c r="G29" s="115"/>
      <c r="H29" s="115"/>
    </row>
    <row r="30" spans="1:8" ht="10.5" customHeight="1">
      <c r="A30" s="113" t="s">
        <v>637</v>
      </c>
      <c r="B30" s="122" t="s">
        <v>639</v>
      </c>
      <c r="C30" s="113"/>
      <c r="D30" s="115"/>
      <c r="E30" s="115"/>
      <c r="F30" s="115"/>
      <c r="G30" s="115"/>
      <c r="H30" s="115"/>
    </row>
    <row r="31" spans="1:8" ht="10.5" customHeight="1">
      <c r="A31" s="113" t="s">
        <v>640</v>
      </c>
      <c r="B31" s="122" t="s">
        <v>641</v>
      </c>
      <c r="C31" s="113"/>
      <c r="D31" s="115"/>
      <c r="E31" s="115"/>
      <c r="F31" s="115"/>
      <c r="G31" s="115"/>
      <c r="H31" s="115"/>
    </row>
    <row r="32" spans="1:8" ht="10.5" customHeight="1">
      <c r="A32" s="113" t="s">
        <v>642</v>
      </c>
      <c r="B32" s="123" t="s">
        <v>643</v>
      </c>
      <c r="C32" s="113"/>
      <c r="D32" s="115"/>
      <c r="E32" s="115"/>
      <c r="F32" s="115"/>
      <c r="G32" s="115"/>
      <c r="H32" s="115"/>
    </row>
    <row r="33" spans="1:8" ht="10.5" customHeight="1">
      <c r="A33" s="113" t="s">
        <v>644</v>
      </c>
      <c r="B33" s="123" t="s">
        <v>494</v>
      </c>
      <c r="C33" s="113"/>
      <c r="D33" s="115"/>
      <c r="E33" s="115"/>
      <c r="F33" s="115"/>
      <c r="G33" s="115"/>
      <c r="H33" s="115"/>
    </row>
    <row r="34" spans="1:8" ht="10.5" customHeight="1">
      <c r="A34" s="113" t="s">
        <v>644</v>
      </c>
      <c r="B34" s="123" t="s">
        <v>645</v>
      </c>
      <c r="C34" s="113"/>
      <c r="D34" s="115"/>
      <c r="E34" s="115"/>
      <c r="F34" s="115"/>
      <c r="G34" s="115"/>
      <c r="H34" s="115"/>
    </row>
    <row r="35" spans="1:8" ht="10.5" customHeight="1">
      <c r="A35" s="113" t="s">
        <v>646</v>
      </c>
      <c r="B35" s="123" t="s">
        <v>647</v>
      </c>
      <c r="C35" s="113"/>
      <c r="D35" s="115"/>
      <c r="E35" s="115"/>
      <c r="F35" s="115"/>
      <c r="G35" s="115"/>
      <c r="H35" s="115"/>
    </row>
    <row r="36" spans="1:8" ht="10.5" customHeight="1">
      <c r="A36" s="113" t="s">
        <v>648</v>
      </c>
      <c r="B36" s="123" t="s">
        <v>649</v>
      </c>
      <c r="C36" s="113"/>
      <c r="D36" s="115"/>
      <c r="E36" s="115"/>
      <c r="F36" s="115"/>
      <c r="G36" s="115"/>
      <c r="H36" s="115"/>
    </row>
    <row r="37" spans="1:8" ht="10.5" customHeight="1">
      <c r="A37" s="113" t="s">
        <v>650</v>
      </c>
      <c r="B37" s="123" t="s">
        <v>651</v>
      </c>
      <c r="C37" s="113"/>
      <c r="D37" s="115"/>
      <c r="E37" s="115"/>
      <c r="F37" s="115"/>
      <c r="G37" s="115"/>
      <c r="H37" s="115"/>
    </row>
    <row r="38" spans="1:8" ht="10.5" customHeight="1">
      <c r="A38" s="113" t="s">
        <v>652</v>
      </c>
      <c r="B38" s="123" t="s">
        <v>653</v>
      </c>
      <c r="C38" s="113"/>
      <c r="D38" s="115"/>
      <c r="E38" s="115"/>
      <c r="F38" s="115"/>
      <c r="G38" s="115"/>
      <c r="H38" s="115"/>
    </row>
    <row r="39" spans="1:8" ht="10.5" customHeight="1">
      <c r="A39" s="113" t="s">
        <v>654</v>
      </c>
      <c r="B39" s="123" t="s">
        <v>655</v>
      </c>
      <c r="C39" s="113"/>
      <c r="D39" s="115"/>
      <c r="E39" s="115"/>
      <c r="F39" s="115"/>
      <c r="G39" s="115"/>
      <c r="H39" s="115"/>
    </row>
    <row r="40" spans="1:8" ht="10.5" customHeight="1">
      <c r="A40" s="113" t="s">
        <v>656</v>
      </c>
      <c r="B40" s="123" t="s">
        <v>492</v>
      </c>
      <c r="C40" s="113"/>
      <c r="D40" s="115"/>
      <c r="E40" s="115"/>
      <c r="F40" s="115"/>
      <c r="G40" s="115"/>
      <c r="H40" s="115"/>
    </row>
    <row r="41" spans="1:8" ht="10.5" customHeight="1">
      <c r="A41" s="113" t="s">
        <v>657</v>
      </c>
      <c r="B41" s="123" t="s">
        <v>658</v>
      </c>
      <c r="C41" s="113"/>
      <c r="D41" s="115"/>
      <c r="E41" s="115"/>
      <c r="F41" s="115"/>
      <c r="G41" s="115"/>
      <c r="H41" s="115"/>
    </row>
    <row r="42" spans="1:8" ht="10.5" customHeight="1">
      <c r="A42" s="113" t="s">
        <v>659</v>
      </c>
      <c r="B42" s="123" t="s">
        <v>660</v>
      </c>
      <c r="C42" s="113"/>
      <c r="D42" s="115"/>
      <c r="E42" s="115"/>
      <c r="F42" s="115"/>
      <c r="G42" s="115"/>
      <c r="H42" s="115"/>
    </row>
    <row r="43" spans="1:8" ht="10.5" customHeight="1">
      <c r="A43" s="113" t="s">
        <v>648</v>
      </c>
      <c r="B43" s="123" t="s">
        <v>572</v>
      </c>
      <c r="C43" s="113"/>
      <c r="D43" s="115"/>
      <c r="E43" s="115"/>
      <c r="F43" s="115"/>
      <c r="G43" s="115"/>
      <c r="H43" s="115"/>
    </row>
    <row r="44" spans="1:8" ht="10.5" customHeight="1">
      <c r="A44" s="113" t="s">
        <v>661</v>
      </c>
      <c r="B44" s="123" t="s">
        <v>662</v>
      </c>
      <c r="C44" s="113"/>
      <c r="D44" s="115"/>
      <c r="E44" s="115"/>
      <c r="F44" s="115"/>
      <c r="G44" s="115"/>
      <c r="H44" s="115"/>
    </row>
    <row r="45" spans="1:8" ht="10.5" customHeight="1">
      <c r="A45" s="113" t="s">
        <v>663</v>
      </c>
      <c r="B45" s="123" t="s">
        <v>664</v>
      </c>
      <c r="C45" s="113"/>
      <c r="D45" s="115"/>
      <c r="E45" s="115"/>
      <c r="F45" s="115"/>
      <c r="G45" s="115"/>
      <c r="H45" s="115"/>
    </row>
    <row r="46" spans="1:8" ht="10.5" customHeight="1">
      <c r="A46" s="113" t="s">
        <v>665</v>
      </c>
      <c r="B46" s="123" t="s">
        <v>666</v>
      </c>
      <c r="C46" s="113"/>
      <c r="D46" s="115"/>
      <c r="E46" s="115"/>
      <c r="F46" s="115"/>
      <c r="G46" s="115"/>
      <c r="H46" s="115"/>
    </row>
    <row r="47" spans="1:8" ht="10.5" customHeight="1">
      <c r="A47" s="113" t="s">
        <v>667</v>
      </c>
      <c r="B47" s="123" t="s">
        <v>668</v>
      </c>
      <c r="C47" s="113"/>
      <c r="D47" s="115"/>
      <c r="E47" s="115"/>
      <c r="F47" s="115"/>
      <c r="G47" s="115"/>
      <c r="H47" s="115"/>
    </row>
    <row r="48" spans="1:8" ht="10.5" customHeight="1">
      <c r="A48" s="113" t="s">
        <v>669</v>
      </c>
      <c r="B48" s="124" t="s">
        <v>670</v>
      </c>
      <c r="C48" s="113"/>
      <c r="D48" s="115"/>
      <c r="E48" s="115"/>
      <c r="F48" s="115"/>
      <c r="G48" s="115"/>
      <c r="H48" s="115"/>
    </row>
    <row r="49" spans="1:8" ht="10.5" customHeight="1">
      <c r="A49" s="113" t="s">
        <v>671</v>
      </c>
      <c r="B49" s="123" t="s">
        <v>672</v>
      </c>
      <c r="C49" s="113"/>
      <c r="D49" s="115"/>
      <c r="E49" s="115"/>
      <c r="F49" s="115"/>
      <c r="G49" s="115"/>
      <c r="H49" s="115"/>
    </row>
    <row r="50" spans="1:8" ht="10.5" customHeight="1">
      <c r="A50" s="113" t="s">
        <v>671</v>
      </c>
      <c r="B50" s="123" t="s">
        <v>673</v>
      </c>
      <c r="C50" s="113"/>
      <c r="D50" s="115"/>
      <c r="E50" s="115"/>
      <c r="F50" s="115"/>
      <c r="G50" s="115"/>
      <c r="H50" s="115"/>
    </row>
    <row r="51" spans="1:8" ht="10.5" customHeight="1">
      <c r="A51" s="113" t="s">
        <v>674</v>
      </c>
      <c r="B51" s="123" t="s">
        <v>675</v>
      </c>
      <c r="C51" s="113"/>
      <c r="D51" s="115"/>
      <c r="E51" s="115"/>
      <c r="F51" s="116"/>
      <c r="G51" s="115"/>
      <c r="H51" s="115"/>
    </row>
    <row r="52" spans="1:8" ht="10.5" customHeight="1">
      <c r="A52" s="113" t="s">
        <v>676</v>
      </c>
      <c r="B52" s="123" t="s">
        <v>677</v>
      </c>
      <c r="C52" s="113"/>
      <c r="D52" s="115"/>
      <c r="E52" s="115"/>
      <c r="F52" s="115"/>
      <c r="G52" s="115"/>
      <c r="H52" s="116"/>
    </row>
    <row r="53" spans="1:8" ht="10.5" customHeight="1">
      <c r="A53" s="113" t="s">
        <v>678</v>
      </c>
      <c r="B53" s="123" t="s">
        <v>679</v>
      </c>
      <c r="C53" s="113"/>
      <c r="D53" s="115"/>
      <c r="E53" s="115"/>
      <c r="F53" s="115"/>
      <c r="G53" s="116"/>
      <c r="H53" s="115"/>
    </row>
    <row r="54" spans="1:8" ht="10.5" customHeight="1">
      <c r="A54" s="113" t="s">
        <v>680</v>
      </c>
      <c r="B54" s="123" t="s">
        <v>681</v>
      </c>
      <c r="C54" s="113"/>
      <c r="D54" s="115"/>
      <c r="E54" s="115"/>
      <c r="F54" s="115"/>
      <c r="G54" s="115"/>
      <c r="H54" s="115"/>
    </row>
    <row r="55" spans="1:8" ht="10.5" customHeight="1">
      <c r="A55" s="113" t="s">
        <v>680</v>
      </c>
      <c r="B55" s="123" t="s">
        <v>682</v>
      </c>
      <c r="C55" s="113"/>
      <c r="D55" s="115"/>
      <c r="E55" s="115"/>
      <c r="F55" s="115"/>
      <c r="G55" s="115"/>
      <c r="H55" s="115"/>
    </row>
    <row r="56" spans="1:8" ht="10.5" customHeight="1">
      <c r="A56" s="113" t="s">
        <v>680</v>
      </c>
      <c r="B56" s="123" t="s">
        <v>405</v>
      </c>
      <c r="C56" s="113"/>
      <c r="D56" s="115"/>
      <c r="E56" s="115"/>
      <c r="F56" s="115"/>
      <c r="G56" s="115"/>
      <c r="H56" s="115"/>
    </row>
    <row r="57" spans="1:8" ht="10.5" customHeight="1">
      <c r="A57" s="113" t="s">
        <v>680</v>
      </c>
      <c r="B57" s="123" t="s">
        <v>683</v>
      </c>
      <c r="C57" s="113"/>
      <c r="D57" s="115"/>
      <c r="E57" s="115"/>
      <c r="F57" s="115"/>
      <c r="G57" s="115"/>
      <c r="H57" s="115"/>
    </row>
    <row r="58" spans="1:8" ht="10.5" customHeight="1">
      <c r="A58" s="113" t="s">
        <v>684</v>
      </c>
      <c r="B58" s="123" t="s">
        <v>685</v>
      </c>
      <c r="C58" s="113"/>
      <c r="D58" s="115"/>
      <c r="E58" s="115"/>
      <c r="F58" s="115"/>
      <c r="G58" s="115"/>
      <c r="H58" s="115"/>
    </row>
    <row r="59" spans="1:8" ht="10.5" customHeight="1">
      <c r="A59" s="113" t="s">
        <v>686</v>
      </c>
      <c r="B59" s="123" t="s">
        <v>687</v>
      </c>
      <c r="C59" s="113"/>
      <c r="D59" s="115"/>
      <c r="E59" s="115"/>
      <c r="F59" s="115"/>
      <c r="G59" s="116"/>
      <c r="H59" s="115"/>
    </row>
    <row r="60" spans="1:8" ht="10.5" customHeight="1">
      <c r="A60" s="113" t="s">
        <v>686</v>
      </c>
      <c r="B60" s="123" t="s">
        <v>688</v>
      </c>
      <c r="C60" s="113"/>
      <c r="D60" s="115"/>
      <c r="E60" s="115"/>
      <c r="F60" s="115"/>
      <c r="G60" s="115"/>
      <c r="H60" s="115"/>
    </row>
    <row r="61" spans="1:8" ht="10.5" customHeight="1">
      <c r="A61" s="113" t="s">
        <v>686</v>
      </c>
      <c r="B61" s="123" t="s">
        <v>689</v>
      </c>
      <c r="C61" s="113"/>
      <c r="D61" s="115"/>
      <c r="E61" s="115"/>
      <c r="F61" s="115"/>
      <c r="G61" s="116"/>
      <c r="H61" s="115"/>
    </row>
    <row r="62" spans="1:8" ht="10.5" customHeight="1">
      <c r="A62" s="113" t="s">
        <v>686</v>
      </c>
      <c r="B62" s="123" t="s">
        <v>690</v>
      </c>
      <c r="C62" s="113"/>
      <c r="D62" s="115"/>
      <c r="E62" s="116"/>
      <c r="F62" s="115"/>
      <c r="G62" s="115"/>
      <c r="H62" s="115"/>
    </row>
    <row r="63" spans="1:8" ht="10.5" customHeight="1">
      <c r="A63" s="113" t="s">
        <v>686</v>
      </c>
      <c r="B63" s="123" t="s">
        <v>691</v>
      </c>
      <c r="C63" s="113"/>
      <c r="D63" s="115"/>
      <c r="E63" s="115"/>
      <c r="F63" s="115"/>
      <c r="G63" s="115"/>
      <c r="H63" s="115"/>
    </row>
    <row r="64" spans="1:8" ht="10.5" customHeight="1">
      <c r="A64" s="113" t="s">
        <v>686</v>
      </c>
      <c r="B64" s="123" t="s">
        <v>692</v>
      </c>
      <c r="C64" s="113"/>
      <c r="D64" s="115"/>
      <c r="E64" s="115"/>
      <c r="F64" s="115"/>
      <c r="G64" s="115"/>
      <c r="H64" s="115"/>
    </row>
    <row r="65" spans="1:8" ht="10.5" customHeight="1">
      <c r="A65" s="113" t="s">
        <v>686</v>
      </c>
      <c r="B65" s="123" t="s">
        <v>693</v>
      </c>
      <c r="C65" s="113"/>
      <c r="D65" s="115"/>
      <c r="E65" s="115"/>
      <c r="F65" s="115"/>
      <c r="G65" s="115"/>
      <c r="H65" s="115"/>
    </row>
    <row r="66" spans="1:8" ht="10.5" customHeight="1">
      <c r="A66" s="113" t="s">
        <v>686</v>
      </c>
      <c r="B66" s="123" t="s">
        <v>694</v>
      </c>
      <c r="C66" s="113"/>
      <c r="D66" s="115"/>
      <c r="E66" s="115"/>
      <c r="F66" s="115"/>
      <c r="G66" s="115"/>
      <c r="H66" s="115"/>
    </row>
    <row r="67" spans="1:8" ht="10.5" customHeight="1">
      <c r="A67" s="113" t="s">
        <v>686</v>
      </c>
      <c r="B67" s="123" t="s">
        <v>695</v>
      </c>
      <c r="C67" s="113"/>
      <c r="D67" s="115"/>
      <c r="E67" s="115"/>
      <c r="F67" s="115"/>
      <c r="G67" s="115"/>
      <c r="H67" s="115"/>
    </row>
    <row r="68" spans="1:8" ht="10.5" customHeight="1">
      <c r="A68" s="113" t="s">
        <v>686</v>
      </c>
      <c r="B68" s="123" t="s">
        <v>493</v>
      </c>
      <c r="C68" s="113"/>
      <c r="D68" s="115"/>
      <c r="E68" s="115"/>
      <c r="F68" s="115"/>
      <c r="G68" s="115"/>
      <c r="H68" s="115"/>
    </row>
    <row r="69" spans="1:8" ht="10.5" customHeight="1">
      <c r="A69" s="113" t="s">
        <v>686</v>
      </c>
      <c r="B69" s="123" t="s">
        <v>696</v>
      </c>
      <c r="C69" s="113"/>
      <c r="D69" s="115"/>
      <c r="E69" s="115"/>
      <c r="F69" s="115"/>
      <c r="G69" s="115"/>
      <c r="H69" s="115"/>
    </row>
    <row r="70" spans="1:8" ht="10.5" customHeight="1">
      <c r="A70" s="113" t="s">
        <v>686</v>
      </c>
      <c r="B70" s="123" t="s">
        <v>697</v>
      </c>
      <c r="C70" s="113"/>
      <c r="D70" s="115"/>
      <c r="E70" s="115"/>
      <c r="F70" s="115"/>
      <c r="G70" s="115"/>
      <c r="H70" s="115"/>
    </row>
    <row r="71" spans="1:8" ht="10.5" customHeight="1">
      <c r="A71" s="113" t="s">
        <v>686</v>
      </c>
      <c r="B71" s="123" t="s">
        <v>698</v>
      </c>
      <c r="C71" s="113"/>
      <c r="D71" s="115"/>
      <c r="E71" s="115"/>
      <c r="F71" s="115"/>
      <c r="G71" s="116"/>
      <c r="H71" s="115"/>
    </row>
    <row r="72" spans="1:8" ht="10.5" customHeight="1">
      <c r="A72" s="113" t="s">
        <v>686</v>
      </c>
      <c r="B72" s="124" t="s">
        <v>699</v>
      </c>
      <c r="C72" s="113"/>
      <c r="D72" s="115"/>
      <c r="E72" s="115"/>
      <c r="F72" s="115"/>
      <c r="G72" s="115"/>
      <c r="H72" s="115"/>
    </row>
    <row r="73" spans="1:8" ht="10.5" customHeight="1">
      <c r="A73" s="113" t="s">
        <v>686</v>
      </c>
      <c r="B73" s="124" t="s">
        <v>491</v>
      </c>
      <c r="C73" s="113"/>
      <c r="D73" s="115"/>
      <c r="E73" s="115"/>
      <c r="F73" s="115"/>
      <c r="G73" s="115"/>
      <c r="H73" s="115"/>
    </row>
    <row r="74" spans="1:8" ht="10.5" customHeight="1">
      <c r="A74" s="115" t="s">
        <v>700</v>
      </c>
      <c r="B74" s="125" t="s">
        <v>701</v>
      </c>
      <c r="C74" s="113"/>
      <c r="D74" s="115"/>
      <c r="E74" s="115"/>
      <c r="F74" s="115"/>
      <c r="G74" s="115"/>
      <c r="H74" s="115"/>
    </row>
    <row r="75" spans="1:8" ht="10.5" customHeight="1">
      <c r="A75" s="115" t="s">
        <v>702</v>
      </c>
      <c r="B75" s="115" t="s">
        <v>88</v>
      </c>
      <c r="C75" s="113"/>
      <c r="D75" s="115"/>
      <c r="E75" s="115"/>
      <c r="F75" s="115"/>
      <c r="G75" s="115"/>
      <c r="H75" s="115"/>
    </row>
    <row r="76" spans="1:8" ht="10.5" customHeight="1">
      <c r="A76" s="113" t="s">
        <v>703</v>
      </c>
      <c r="B76" s="123" t="s">
        <v>477</v>
      </c>
      <c r="C76" s="113"/>
      <c r="D76" s="115"/>
      <c r="E76" s="115"/>
      <c r="F76" s="115"/>
      <c r="G76" s="115"/>
      <c r="H76" s="115"/>
    </row>
    <row r="77" spans="1:8" ht="10.5" customHeight="1">
      <c r="A77" s="113" t="s">
        <v>703</v>
      </c>
      <c r="B77" s="123" t="s">
        <v>26</v>
      </c>
      <c r="C77" s="113"/>
      <c r="D77" s="115"/>
      <c r="E77" s="115"/>
      <c r="F77" s="115"/>
      <c r="G77" s="115"/>
      <c r="H77" s="115"/>
    </row>
    <row r="78" spans="1:8" ht="10.5" customHeight="1">
      <c r="A78" s="113" t="s">
        <v>703</v>
      </c>
      <c r="B78" s="123" t="s">
        <v>356</v>
      </c>
      <c r="C78" s="113"/>
      <c r="D78" s="115"/>
      <c r="E78" s="115"/>
      <c r="F78" s="115"/>
      <c r="G78" s="115"/>
      <c r="H78" s="115"/>
    </row>
    <row r="79" spans="1:8" ht="10.5" customHeight="1">
      <c r="A79" s="113" t="s">
        <v>703</v>
      </c>
      <c r="B79" s="123" t="s">
        <v>588</v>
      </c>
      <c r="C79" s="113"/>
      <c r="D79" s="115"/>
      <c r="E79" s="115"/>
      <c r="F79" s="115"/>
      <c r="G79" s="115"/>
      <c r="H79" s="115"/>
    </row>
    <row r="80" spans="1:8" ht="10.5" customHeight="1">
      <c r="A80" s="113" t="s">
        <v>703</v>
      </c>
      <c r="B80" s="123" t="s">
        <v>565</v>
      </c>
      <c r="C80" s="113"/>
      <c r="D80" s="115"/>
      <c r="E80" s="115"/>
      <c r="F80" s="115"/>
      <c r="G80" s="115"/>
      <c r="H80" s="115"/>
    </row>
    <row r="81" spans="1:8" ht="10.5" customHeight="1">
      <c r="A81" s="113" t="s">
        <v>704</v>
      </c>
      <c r="B81" s="123" t="s">
        <v>705</v>
      </c>
      <c r="C81" s="113"/>
      <c r="D81" s="115"/>
      <c r="E81" s="115"/>
      <c r="F81" s="115"/>
      <c r="G81" s="115"/>
      <c r="H81" s="115"/>
    </row>
    <row r="82" spans="1:8" ht="10.5" customHeight="1">
      <c r="A82" s="113" t="s">
        <v>704</v>
      </c>
      <c r="B82" s="123" t="s">
        <v>357</v>
      </c>
      <c r="C82" s="113"/>
      <c r="D82" s="115"/>
      <c r="E82" s="115"/>
      <c r="F82" s="115"/>
      <c r="G82" s="115"/>
      <c r="H82" s="115"/>
    </row>
    <row r="83" spans="1:8" ht="10.5" customHeight="1">
      <c r="A83" s="113" t="s">
        <v>706</v>
      </c>
      <c r="B83" s="123" t="s">
        <v>593</v>
      </c>
      <c r="C83" s="113"/>
      <c r="D83" s="115"/>
      <c r="E83" s="115"/>
      <c r="F83" s="115"/>
      <c r="G83" s="115"/>
      <c r="H83" s="115"/>
    </row>
    <row r="84" spans="1:8" ht="10.5" customHeight="1">
      <c r="A84" s="113" t="s">
        <v>707</v>
      </c>
      <c r="B84" s="126" t="s">
        <v>359</v>
      </c>
      <c r="C84" s="127"/>
      <c r="D84" s="115"/>
      <c r="E84" s="115">
        <v>4</v>
      </c>
      <c r="F84" s="115">
        <v>4</v>
      </c>
      <c r="G84" s="115">
        <v>4</v>
      </c>
      <c r="H84" s="115">
        <v>4</v>
      </c>
    </row>
    <row r="85" spans="1:8" ht="10.5" customHeight="1">
      <c r="A85" s="128"/>
      <c r="B85" s="129" t="s">
        <v>437</v>
      </c>
      <c r="C85" s="130"/>
      <c r="D85" s="131"/>
      <c r="E85" s="131"/>
      <c r="F85" s="131"/>
      <c r="G85" s="131"/>
      <c r="H85" s="132"/>
    </row>
    <row r="86" spans="1:8">
      <c r="A86" s="133"/>
      <c r="B86" s="134"/>
      <c r="E86" s="135" t="s">
        <v>708</v>
      </c>
    </row>
    <row r="87" spans="1:8">
      <c r="A87" s="133"/>
    </row>
    <row r="88" spans="1:8">
      <c r="A88" s="133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1048576"/>
  <sheetViews>
    <sheetView topLeftCell="G1044" workbookViewId="0">
      <selection activeCell="D589" sqref="D589"/>
    </sheetView>
  </sheetViews>
  <sheetFormatPr defaultColWidth="9.08984375" defaultRowHeight="14.5"/>
  <cols>
    <col min="1" max="1" width="11.453125" style="80" customWidth="1"/>
    <col min="2" max="2" width="14.90625" style="78" customWidth="1"/>
    <col min="3" max="3" width="6.08984375" style="78" customWidth="1"/>
    <col min="4" max="4" width="45.54296875" style="78" customWidth="1"/>
    <col min="5" max="5" width="107.36328125" style="78" customWidth="1"/>
    <col min="6" max="6" width="61.36328125" style="80" customWidth="1"/>
    <col min="7" max="7" width="31" style="80" customWidth="1"/>
    <col min="8" max="8" width="16.6328125" style="78" customWidth="1"/>
    <col min="9" max="9" width="15.6328125" style="78" customWidth="1"/>
    <col min="10" max="10" width="17.36328125" style="80" customWidth="1"/>
    <col min="11" max="11" width="10" style="78" customWidth="1"/>
    <col min="12" max="16384" width="9.08984375" style="78"/>
  </cols>
  <sheetData>
    <row r="1" spans="1:11">
      <c r="A1" s="81" t="s">
        <v>70</v>
      </c>
      <c r="B1" s="81" t="s">
        <v>709</v>
      </c>
      <c r="C1" s="81" t="s">
        <v>710</v>
      </c>
      <c r="D1" s="81" t="s">
        <v>711</v>
      </c>
      <c r="E1" s="81" t="s">
        <v>712</v>
      </c>
      <c r="F1" s="81" t="s">
        <v>368</v>
      </c>
      <c r="G1" s="82" t="s">
        <v>713</v>
      </c>
      <c r="H1" s="81" t="s">
        <v>714</v>
      </c>
      <c r="I1" s="81" t="s">
        <v>329</v>
      </c>
      <c r="J1" s="81" t="s">
        <v>715</v>
      </c>
      <c r="K1" s="81" t="s">
        <v>716</v>
      </c>
    </row>
    <row r="2" spans="1:11" s="77" customFormat="1" ht="15" hidden="1" customHeight="1">
      <c r="A2" s="83">
        <v>45902</v>
      </c>
      <c r="B2" s="84" t="s">
        <v>511</v>
      </c>
      <c r="C2" s="77" t="s">
        <v>717</v>
      </c>
      <c r="D2" s="85" t="s">
        <v>718</v>
      </c>
      <c r="E2" s="86" t="s">
        <v>719</v>
      </c>
      <c r="F2" s="87" t="s">
        <v>720</v>
      </c>
      <c r="G2" s="88" t="s">
        <v>721</v>
      </c>
    </row>
    <row r="3" spans="1:11" s="77" customFormat="1" ht="15" hidden="1" customHeight="1">
      <c r="A3" s="83">
        <v>45902</v>
      </c>
      <c r="B3" s="84" t="s">
        <v>516</v>
      </c>
      <c r="C3" s="77" t="s">
        <v>717</v>
      </c>
      <c r="D3" s="85" t="s">
        <v>718</v>
      </c>
      <c r="E3" s="86" t="s">
        <v>719</v>
      </c>
      <c r="F3" s="87" t="s">
        <v>720</v>
      </c>
      <c r="G3" s="88" t="s">
        <v>721</v>
      </c>
    </row>
    <row r="4" spans="1:11" s="77" customFormat="1" ht="15" hidden="1" customHeight="1">
      <c r="A4" s="83">
        <v>45902</v>
      </c>
      <c r="B4" s="84" t="s">
        <v>616</v>
      </c>
      <c r="C4" s="77" t="s">
        <v>717</v>
      </c>
      <c r="D4" s="85" t="s">
        <v>718</v>
      </c>
      <c r="E4" s="86" t="s">
        <v>719</v>
      </c>
      <c r="F4" s="87" t="s">
        <v>720</v>
      </c>
      <c r="G4" s="88" t="s">
        <v>721</v>
      </c>
    </row>
    <row r="5" spans="1:11" s="77" customFormat="1" ht="15" hidden="1" customHeight="1">
      <c r="A5" s="83">
        <v>45902</v>
      </c>
      <c r="B5" s="84" t="s">
        <v>356</v>
      </c>
      <c r="C5" s="77" t="s">
        <v>717</v>
      </c>
      <c r="D5" s="85" t="s">
        <v>718</v>
      </c>
      <c r="E5" s="86" t="s">
        <v>719</v>
      </c>
      <c r="F5" s="89" t="s">
        <v>722</v>
      </c>
      <c r="G5" s="88" t="s">
        <v>721</v>
      </c>
    </row>
    <row r="6" spans="1:11" s="77" customFormat="1" ht="15" hidden="1" customHeight="1">
      <c r="A6" s="83">
        <v>45902</v>
      </c>
      <c r="B6" s="84" t="s">
        <v>565</v>
      </c>
      <c r="C6" s="77" t="s">
        <v>717</v>
      </c>
      <c r="D6" s="85" t="s">
        <v>718</v>
      </c>
      <c r="E6" s="86" t="s">
        <v>719</v>
      </c>
      <c r="F6" s="89" t="s">
        <v>722</v>
      </c>
      <c r="G6" s="88" t="s">
        <v>721</v>
      </c>
    </row>
    <row r="7" spans="1:11" ht="15" customHeight="1">
      <c r="A7" s="90">
        <v>45902</v>
      </c>
      <c r="B7" s="91" t="s">
        <v>636</v>
      </c>
      <c r="C7" s="78" t="s">
        <v>717</v>
      </c>
      <c r="D7" s="92" t="s">
        <v>718</v>
      </c>
      <c r="E7" s="91" t="s">
        <v>719</v>
      </c>
      <c r="F7" s="93" t="s">
        <v>723</v>
      </c>
      <c r="G7" s="94">
        <v>1847953</v>
      </c>
      <c r="H7" s="78" t="s">
        <v>354</v>
      </c>
      <c r="I7" s="78" t="s">
        <v>724</v>
      </c>
      <c r="J7" s="80" t="s">
        <v>725</v>
      </c>
      <c r="K7" s="78" t="s">
        <v>354</v>
      </c>
    </row>
    <row r="8" spans="1:11" s="77" customFormat="1" ht="15" hidden="1" customHeight="1">
      <c r="A8" s="83">
        <v>45902</v>
      </c>
      <c r="B8" s="84" t="s">
        <v>511</v>
      </c>
      <c r="C8" s="77" t="s">
        <v>717</v>
      </c>
      <c r="D8" s="86" t="s">
        <v>726</v>
      </c>
      <c r="E8" s="95" t="s">
        <v>727</v>
      </c>
      <c r="F8" s="89" t="s">
        <v>728</v>
      </c>
      <c r="G8" s="88" t="s">
        <v>721</v>
      </c>
    </row>
    <row r="9" spans="1:11" s="77" customFormat="1" ht="15" hidden="1" customHeight="1">
      <c r="A9" s="83">
        <v>45902</v>
      </c>
      <c r="B9" s="84" t="s">
        <v>511</v>
      </c>
      <c r="C9" s="77" t="s">
        <v>717</v>
      </c>
      <c r="D9" s="86" t="s">
        <v>726</v>
      </c>
      <c r="E9" s="96" t="s">
        <v>729</v>
      </c>
      <c r="F9" s="89" t="s">
        <v>728</v>
      </c>
      <c r="G9" s="88" t="s">
        <v>721</v>
      </c>
    </row>
    <row r="10" spans="1:11" s="77" customFormat="1" ht="15" hidden="1" customHeight="1">
      <c r="A10" s="83">
        <v>45902</v>
      </c>
      <c r="B10" s="84" t="s">
        <v>511</v>
      </c>
      <c r="C10" s="77" t="s">
        <v>717</v>
      </c>
      <c r="D10" s="86" t="s">
        <v>726</v>
      </c>
      <c r="E10" s="96" t="s">
        <v>730</v>
      </c>
      <c r="F10" s="89" t="s">
        <v>728</v>
      </c>
      <c r="G10" s="88" t="s">
        <v>721</v>
      </c>
    </row>
    <row r="11" spans="1:11" s="77" customFormat="1" ht="15" hidden="1" customHeight="1">
      <c r="A11" s="83">
        <v>45902</v>
      </c>
      <c r="B11" s="84" t="s">
        <v>511</v>
      </c>
      <c r="C11" s="77" t="s">
        <v>717</v>
      </c>
      <c r="D11" s="86" t="s">
        <v>726</v>
      </c>
      <c r="E11" s="96" t="s">
        <v>731</v>
      </c>
      <c r="F11" s="89" t="s">
        <v>728</v>
      </c>
      <c r="G11" s="88" t="s">
        <v>721</v>
      </c>
    </row>
    <row r="12" spans="1:11" s="77" customFormat="1" ht="15" hidden="1" customHeight="1">
      <c r="A12" s="83">
        <v>45902</v>
      </c>
      <c r="B12" s="84" t="s">
        <v>511</v>
      </c>
      <c r="C12" s="77" t="s">
        <v>717</v>
      </c>
      <c r="D12" s="86" t="s">
        <v>726</v>
      </c>
      <c r="E12" s="96" t="s">
        <v>732</v>
      </c>
      <c r="F12" s="89" t="s">
        <v>728</v>
      </c>
      <c r="G12" s="88" t="s">
        <v>721</v>
      </c>
    </row>
    <row r="13" spans="1:11" s="77" customFormat="1" ht="15" hidden="1" customHeight="1">
      <c r="A13" s="83">
        <v>45902</v>
      </c>
      <c r="B13" s="84" t="s">
        <v>511</v>
      </c>
      <c r="C13" s="77" t="s">
        <v>717</v>
      </c>
      <c r="D13" s="86" t="s">
        <v>726</v>
      </c>
      <c r="E13" s="96" t="s">
        <v>733</v>
      </c>
      <c r="F13" s="89" t="s">
        <v>728</v>
      </c>
      <c r="G13" s="88" t="s">
        <v>721</v>
      </c>
    </row>
    <row r="14" spans="1:11" s="77" customFormat="1" ht="15" hidden="1" customHeight="1">
      <c r="A14" s="83">
        <v>45902</v>
      </c>
      <c r="B14" s="84" t="s">
        <v>511</v>
      </c>
      <c r="C14" s="77" t="s">
        <v>717</v>
      </c>
      <c r="D14" s="86" t="s">
        <v>726</v>
      </c>
      <c r="E14" s="96" t="s">
        <v>734</v>
      </c>
      <c r="F14" s="89" t="s">
        <v>728</v>
      </c>
      <c r="G14" s="88" t="s">
        <v>721</v>
      </c>
    </row>
    <row r="15" spans="1:11" s="77" customFormat="1" ht="15" hidden="1" customHeight="1">
      <c r="A15" s="83">
        <v>45902</v>
      </c>
      <c r="B15" s="84" t="s">
        <v>511</v>
      </c>
      <c r="C15" s="77" t="s">
        <v>717</v>
      </c>
      <c r="D15" s="86" t="s">
        <v>726</v>
      </c>
      <c r="E15" s="96" t="s">
        <v>735</v>
      </c>
      <c r="F15" s="89" t="s">
        <v>728</v>
      </c>
      <c r="G15" s="88" t="s">
        <v>721</v>
      </c>
    </row>
    <row r="16" spans="1:11" s="77" customFormat="1" ht="15" hidden="1" customHeight="1">
      <c r="A16" s="83">
        <v>45902</v>
      </c>
      <c r="B16" s="84" t="s">
        <v>511</v>
      </c>
      <c r="C16" s="77" t="s">
        <v>717</v>
      </c>
      <c r="D16" s="86" t="s">
        <v>736</v>
      </c>
      <c r="E16" s="96" t="s">
        <v>737</v>
      </c>
      <c r="F16" s="89" t="s">
        <v>728</v>
      </c>
      <c r="G16" s="88" t="s">
        <v>721</v>
      </c>
    </row>
    <row r="17" spans="1:7" s="77" customFormat="1" ht="15" hidden="1" customHeight="1">
      <c r="A17" s="83">
        <v>45902</v>
      </c>
      <c r="B17" s="84" t="s">
        <v>511</v>
      </c>
      <c r="C17" s="77" t="s">
        <v>717</v>
      </c>
      <c r="D17" s="86" t="s">
        <v>736</v>
      </c>
      <c r="E17" s="96" t="s">
        <v>738</v>
      </c>
      <c r="F17" s="89" t="s">
        <v>728</v>
      </c>
      <c r="G17" s="88" t="s">
        <v>721</v>
      </c>
    </row>
    <row r="18" spans="1:7" s="77" customFormat="1" ht="15" hidden="1" customHeight="1">
      <c r="A18" s="83">
        <v>45902</v>
      </c>
      <c r="B18" s="84" t="s">
        <v>511</v>
      </c>
      <c r="C18" s="77" t="s">
        <v>717</v>
      </c>
      <c r="D18" s="85" t="s">
        <v>739</v>
      </c>
      <c r="E18" s="96" t="s">
        <v>740</v>
      </c>
      <c r="F18" s="89" t="s">
        <v>728</v>
      </c>
      <c r="G18" s="88" t="s">
        <v>721</v>
      </c>
    </row>
    <row r="19" spans="1:7" s="77" customFormat="1" ht="15" hidden="1" customHeight="1">
      <c r="A19" s="83">
        <v>45902</v>
      </c>
      <c r="B19" s="84" t="s">
        <v>511</v>
      </c>
      <c r="C19" s="77" t="s">
        <v>717</v>
      </c>
      <c r="D19" s="85" t="s">
        <v>739</v>
      </c>
      <c r="E19" s="96" t="s">
        <v>741</v>
      </c>
      <c r="F19" s="89" t="s">
        <v>742</v>
      </c>
      <c r="G19" s="88" t="s">
        <v>721</v>
      </c>
    </row>
    <row r="20" spans="1:7" s="77" customFormat="1" ht="15" hidden="1" customHeight="1">
      <c r="A20" s="83">
        <v>45902</v>
      </c>
      <c r="B20" s="84" t="s">
        <v>511</v>
      </c>
      <c r="C20" s="77" t="s">
        <v>717</v>
      </c>
      <c r="D20" s="85" t="s">
        <v>739</v>
      </c>
      <c r="E20" s="96" t="s">
        <v>743</v>
      </c>
      <c r="F20" s="89" t="s">
        <v>728</v>
      </c>
      <c r="G20" s="88" t="s">
        <v>721</v>
      </c>
    </row>
    <row r="21" spans="1:7" s="77" customFormat="1" ht="15" hidden="1" customHeight="1">
      <c r="A21" s="83">
        <v>45902</v>
      </c>
      <c r="B21" s="84" t="s">
        <v>511</v>
      </c>
      <c r="C21" s="77" t="s">
        <v>717</v>
      </c>
      <c r="D21" s="85" t="s">
        <v>744</v>
      </c>
      <c r="E21" s="96" t="s">
        <v>745</v>
      </c>
      <c r="F21" s="89" t="s">
        <v>728</v>
      </c>
      <c r="G21" s="88" t="s">
        <v>721</v>
      </c>
    </row>
    <row r="22" spans="1:7" s="77" customFormat="1" ht="15" hidden="1" customHeight="1">
      <c r="A22" s="83">
        <v>45902</v>
      </c>
      <c r="B22" s="84" t="s">
        <v>511</v>
      </c>
      <c r="C22" s="77" t="s">
        <v>717</v>
      </c>
      <c r="D22" s="85" t="s">
        <v>744</v>
      </c>
      <c r="E22" s="96" t="s">
        <v>746</v>
      </c>
      <c r="F22" s="89" t="s">
        <v>728</v>
      </c>
      <c r="G22" s="88" t="s">
        <v>721</v>
      </c>
    </row>
    <row r="23" spans="1:7" s="77" customFormat="1" ht="15" hidden="1" customHeight="1">
      <c r="A23" s="83">
        <v>45902</v>
      </c>
      <c r="B23" s="84" t="s">
        <v>511</v>
      </c>
      <c r="C23" s="77" t="s">
        <v>717</v>
      </c>
      <c r="D23" s="85" t="s">
        <v>744</v>
      </c>
      <c r="E23" s="96" t="s">
        <v>747</v>
      </c>
      <c r="F23" s="89" t="s">
        <v>721</v>
      </c>
      <c r="G23" s="88" t="s">
        <v>721</v>
      </c>
    </row>
    <row r="24" spans="1:7" s="77" customFormat="1" ht="15" hidden="1" customHeight="1">
      <c r="A24" s="83">
        <v>45902</v>
      </c>
      <c r="B24" s="84" t="s">
        <v>511</v>
      </c>
      <c r="C24" s="77" t="s">
        <v>717</v>
      </c>
      <c r="D24" s="85" t="s">
        <v>744</v>
      </c>
      <c r="E24" s="96" t="s">
        <v>748</v>
      </c>
      <c r="F24" s="89" t="s">
        <v>721</v>
      </c>
      <c r="G24" s="88" t="s">
        <v>721</v>
      </c>
    </row>
    <row r="25" spans="1:7" s="77" customFormat="1" ht="15" hidden="1" customHeight="1">
      <c r="A25" s="83">
        <v>45902</v>
      </c>
      <c r="B25" s="84" t="s">
        <v>511</v>
      </c>
      <c r="C25" s="77" t="s">
        <v>717</v>
      </c>
      <c r="D25" s="85" t="s">
        <v>744</v>
      </c>
      <c r="E25" s="96" t="s">
        <v>749</v>
      </c>
      <c r="F25" s="89" t="s">
        <v>728</v>
      </c>
      <c r="G25" s="88" t="s">
        <v>721</v>
      </c>
    </row>
    <row r="26" spans="1:7" s="77" customFormat="1" ht="15" hidden="1" customHeight="1">
      <c r="A26" s="83">
        <v>45902</v>
      </c>
      <c r="B26" s="84" t="s">
        <v>511</v>
      </c>
      <c r="C26" s="77" t="s">
        <v>717</v>
      </c>
      <c r="D26" s="85" t="s">
        <v>750</v>
      </c>
      <c r="E26" s="96" t="s">
        <v>751</v>
      </c>
      <c r="F26" s="89" t="s">
        <v>728</v>
      </c>
      <c r="G26" s="88" t="s">
        <v>721</v>
      </c>
    </row>
    <row r="27" spans="1:7" s="77" customFormat="1" ht="15" hidden="1" customHeight="1">
      <c r="A27" s="83">
        <v>45902</v>
      </c>
      <c r="B27" s="84" t="s">
        <v>511</v>
      </c>
      <c r="C27" s="77" t="s">
        <v>717</v>
      </c>
      <c r="D27" s="85" t="s">
        <v>750</v>
      </c>
      <c r="E27" s="96" t="s">
        <v>752</v>
      </c>
      <c r="F27" s="89" t="s">
        <v>728</v>
      </c>
      <c r="G27" s="88" t="s">
        <v>721</v>
      </c>
    </row>
    <row r="28" spans="1:7" s="77" customFormat="1" ht="15" hidden="1" customHeight="1">
      <c r="A28" s="83">
        <v>45902</v>
      </c>
      <c r="B28" s="84" t="s">
        <v>511</v>
      </c>
      <c r="C28" s="77" t="s">
        <v>717</v>
      </c>
      <c r="D28" s="85" t="s">
        <v>750</v>
      </c>
      <c r="E28" s="96" t="s">
        <v>753</v>
      </c>
      <c r="F28" s="89" t="s">
        <v>728</v>
      </c>
      <c r="G28" s="88" t="s">
        <v>721</v>
      </c>
    </row>
    <row r="29" spans="1:7" s="77" customFormat="1" ht="15" hidden="1" customHeight="1">
      <c r="A29" s="83">
        <v>45902</v>
      </c>
      <c r="B29" s="84" t="s">
        <v>511</v>
      </c>
      <c r="C29" s="77" t="s">
        <v>717</v>
      </c>
      <c r="D29" s="85" t="s">
        <v>750</v>
      </c>
      <c r="E29" s="96" t="s">
        <v>754</v>
      </c>
      <c r="F29" s="89" t="s">
        <v>728</v>
      </c>
      <c r="G29" s="88" t="s">
        <v>721</v>
      </c>
    </row>
    <row r="30" spans="1:7" s="77" customFormat="1" ht="15" hidden="1" customHeight="1">
      <c r="A30" s="83">
        <v>45902</v>
      </c>
      <c r="B30" s="84" t="s">
        <v>511</v>
      </c>
      <c r="C30" s="77" t="s">
        <v>717</v>
      </c>
      <c r="D30" s="85" t="s">
        <v>755</v>
      </c>
      <c r="E30" s="86" t="s">
        <v>756</v>
      </c>
      <c r="F30" s="89" t="s">
        <v>728</v>
      </c>
      <c r="G30" s="88" t="s">
        <v>721</v>
      </c>
    </row>
    <row r="31" spans="1:7" s="77" customFormat="1" ht="15" hidden="1" customHeight="1">
      <c r="A31" s="83">
        <v>45902</v>
      </c>
      <c r="B31" s="84" t="s">
        <v>511</v>
      </c>
      <c r="C31" s="77" t="s">
        <v>717</v>
      </c>
      <c r="D31" s="85" t="s">
        <v>755</v>
      </c>
      <c r="E31" s="96" t="s">
        <v>757</v>
      </c>
      <c r="F31" s="89" t="s">
        <v>728</v>
      </c>
      <c r="G31" s="88" t="s">
        <v>721</v>
      </c>
    </row>
    <row r="32" spans="1:7" s="77" customFormat="1" ht="15" hidden="1" customHeight="1">
      <c r="A32" s="83">
        <v>45902</v>
      </c>
      <c r="B32" s="84" t="s">
        <v>511</v>
      </c>
      <c r="C32" s="77" t="s">
        <v>717</v>
      </c>
      <c r="D32" s="85" t="s">
        <v>758</v>
      </c>
      <c r="E32" s="96" t="s">
        <v>759</v>
      </c>
      <c r="F32" s="89" t="s">
        <v>728</v>
      </c>
      <c r="G32" s="88" t="s">
        <v>721</v>
      </c>
    </row>
    <row r="33" spans="1:7" s="77" customFormat="1" ht="15" hidden="1" customHeight="1">
      <c r="A33" s="83">
        <v>45902</v>
      </c>
      <c r="B33" s="84" t="s">
        <v>511</v>
      </c>
      <c r="C33" s="77" t="s">
        <v>717</v>
      </c>
      <c r="D33" s="85" t="s">
        <v>758</v>
      </c>
      <c r="E33" s="96" t="s">
        <v>760</v>
      </c>
      <c r="F33" s="89" t="s">
        <v>728</v>
      </c>
      <c r="G33" s="88" t="s">
        <v>721</v>
      </c>
    </row>
    <row r="34" spans="1:7" s="77" customFormat="1" ht="15" hidden="1" customHeight="1">
      <c r="A34" s="83">
        <v>45902</v>
      </c>
      <c r="B34" s="84" t="s">
        <v>511</v>
      </c>
      <c r="C34" s="77" t="s">
        <v>717</v>
      </c>
      <c r="D34" s="85" t="s">
        <v>758</v>
      </c>
      <c r="E34" s="96" t="s">
        <v>761</v>
      </c>
      <c r="F34" s="89" t="s">
        <v>728</v>
      </c>
      <c r="G34" s="88" t="s">
        <v>721</v>
      </c>
    </row>
    <row r="35" spans="1:7" s="77" customFormat="1" ht="15" hidden="1" customHeight="1">
      <c r="A35" s="83">
        <v>45902</v>
      </c>
      <c r="B35" s="84" t="s">
        <v>511</v>
      </c>
      <c r="C35" s="77" t="s">
        <v>717</v>
      </c>
      <c r="D35" s="85" t="s">
        <v>758</v>
      </c>
      <c r="E35" s="96" t="s">
        <v>762</v>
      </c>
      <c r="F35" s="89" t="s">
        <v>728</v>
      </c>
      <c r="G35" s="88" t="s">
        <v>721</v>
      </c>
    </row>
    <row r="36" spans="1:7" s="77" customFormat="1" ht="15" hidden="1" customHeight="1">
      <c r="A36" s="83">
        <v>45902</v>
      </c>
      <c r="B36" s="84" t="s">
        <v>511</v>
      </c>
      <c r="C36" s="77" t="s">
        <v>717</v>
      </c>
      <c r="D36" s="85" t="s">
        <v>758</v>
      </c>
      <c r="E36" s="96" t="s">
        <v>763</v>
      </c>
      <c r="F36" s="89" t="s">
        <v>728</v>
      </c>
      <c r="G36" s="88" t="s">
        <v>721</v>
      </c>
    </row>
    <row r="37" spans="1:7" s="77" customFormat="1" ht="15" hidden="1" customHeight="1">
      <c r="A37" s="83">
        <v>45902</v>
      </c>
      <c r="B37" s="84" t="s">
        <v>511</v>
      </c>
      <c r="C37" s="77" t="s">
        <v>717</v>
      </c>
      <c r="D37" s="85" t="s">
        <v>758</v>
      </c>
      <c r="E37" s="96" t="s">
        <v>764</v>
      </c>
      <c r="F37" s="89" t="s">
        <v>728</v>
      </c>
      <c r="G37" s="88" t="s">
        <v>721</v>
      </c>
    </row>
    <row r="38" spans="1:7" s="77" customFormat="1" ht="15" hidden="1" customHeight="1">
      <c r="A38" s="83">
        <v>45902</v>
      </c>
      <c r="B38" s="84" t="s">
        <v>511</v>
      </c>
      <c r="C38" s="77" t="s">
        <v>717</v>
      </c>
      <c r="D38" s="85" t="s">
        <v>718</v>
      </c>
      <c r="E38" s="86" t="s">
        <v>765</v>
      </c>
      <c r="F38" s="89" t="s">
        <v>728</v>
      </c>
      <c r="G38" s="88" t="s">
        <v>721</v>
      </c>
    </row>
    <row r="39" spans="1:7" s="77" customFormat="1" ht="15" hidden="1" customHeight="1">
      <c r="A39" s="83">
        <v>45902</v>
      </c>
      <c r="B39" s="84" t="s">
        <v>511</v>
      </c>
      <c r="C39" s="77" t="s">
        <v>717</v>
      </c>
      <c r="D39" s="85" t="s">
        <v>718</v>
      </c>
      <c r="E39" s="86" t="s">
        <v>766</v>
      </c>
      <c r="F39" s="89" t="s">
        <v>728</v>
      </c>
      <c r="G39" s="88" t="s">
        <v>721</v>
      </c>
    </row>
    <row r="40" spans="1:7" s="77" customFormat="1" ht="15" hidden="1" customHeight="1">
      <c r="A40" s="83">
        <v>45902</v>
      </c>
      <c r="B40" s="84" t="s">
        <v>511</v>
      </c>
      <c r="C40" s="77" t="s">
        <v>717</v>
      </c>
      <c r="D40" s="85" t="s">
        <v>718</v>
      </c>
      <c r="E40" s="86" t="s">
        <v>767</v>
      </c>
      <c r="F40" s="89" t="s">
        <v>728</v>
      </c>
      <c r="G40" s="88" t="s">
        <v>721</v>
      </c>
    </row>
    <row r="41" spans="1:7" s="77" customFormat="1" ht="15" hidden="1" customHeight="1">
      <c r="A41" s="83">
        <v>45902</v>
      </c>
      <c r="B41" s="84" t="s">
        <v>511</v>
      </c>
      <c r="C41" s="77" t="s">
        <v>717</v>
      </c>
      <c r="D41" s="85" t="s">
        <v>718</v>
      </c>
      <c r="E41" s="86" t="s">
        <v>768</v>
      </c>
      <c r="F41" s="89" t="s">
        <v>728</v>
      </c>
      <c r="G41" s="88" t="s">
        <v>721</v>
      </c>
    </row>
    <row r="42" spans="1:7" s="77" customFormat="1" ht="15" hidden="1" customHeight="1">
      <c r="A42" s="83">
        <v>45902</v>
      </c>
      <c r="B42" s="84" t="s">
        <v>511</v>
      </c>
      <c r="C42" s="77" t="s">
        <v>717</v>
      </c>
      <c r="D42" s="85" t="s">
        <v>718</v>
      </c>
      <c r="E42" s="86" t="s">
        <v>769</v>
      </c>
      <c r="F42" s="89" t="s">
        <v>728</v>
      </c>
      <c r="G42" s="88" t="s">
        <v>721</v>
      </c>
    </row>
    <row r="43" spans="1:7" s="77" customFormat="1" ht="15" hidden="1" customHeight="1">
      <c r="A43" s="83">
        <v>45902</v>
      </c>
      <c r="B43" s="84" t="s">
        <v>511</v>
      </c>
      <c r="C43" s="77" t="s">
        <v>717</v>
      </c>
      <c r="D43" s="85" t="s">
        <v>718</v>
      </c>
      <c r="E43" s="86" t="s">
        <v>770</v>
      </c>
      <c r="F43" s="89" t="s">
        <v>728</v>
      </c>
      <c r="G43" s="88" t="s">
        <v>721</v>
      </c>
    </row>
    <row r="44" spans="1:7" s="77" customFormat="1" ht="15" hidden="1" customHeight="1">
      <c r="A44" s="83">
        <v>45902</v>
      </c>
      <c r="B44" s="84" t="s">
        <v>511</v>
      </c>
      <c r="C44" s="77" t="s">
        <v>717</v>
      </c>
      <c r="D44" s="85" t="s">
        <v>718</v>
      </c>
      <c r="E44" s="86" t="s">
        <v>771</v>
      </c>
      <c r="F44" s="89" t="s">
        <v>728</v>
      </c>
      <c r="G44" s="88" t="s">
        <v>721</v>
      </c>
    </row>
    <row r="45" spans="1:7" s="77" customFormat="1" ht="15" hidden="1" customHeight="1">
      <c r="A45" s="83">
        <v>45902</v>
      </c>
      <c r="B45" s="84" t="s">
        <v>511</v>
      </c>
      <c r="C45" s="77" t="s">
        <v>717</v>
      </c>
      <c r="D45" s="85" t="s">
        <v>718</v>
      </c>
      <c r="E45" s="86" t="s">
        <v>772</v>
      </c>
      <c r="F45" s="89" t="s">
        <v>728</v>
      </c>
      <c r="G45" s="88" t="s">
        <v>721</v>
      </c>
    </row>
    <row r="46" spans="1:7" s="77" customFormat="1" ht="15" hidden="1" customHeight="1">
      <c r="A46" s="83">
        <v>45902</v>
      </c>
      <c r="B46" s="84" t="s">
        <v>516</v>
      </c>
      <c r="C46" s="77" t="s">
        <v>717</v>
      </c>
      <c r="D46" s="86" t="s">
        <v>726</v>
      </c>
      <c r="E46" s="95" t="s">
        <v>727</v>
      </c>
      <c r="F46" s="89" t="s">
        <v>728</v>
      </c>
      <c r="G46" s="88" t="s">
        <v>721</v>
      </c>
    </row>
    <row r="47" spans="1:7" s="77" customFormat="1" ht="15" hidden="1" customHeight="1">
      <c r="A47" s="83">
        <v>45902</v>
      </c>
      <c r="B47" s="84" t="s">
        <v>516</v>
      </c>
      <c r="C47" s="77" t="s">
        <v>717</v>
      </c>
      <c r="D47" s="86" t="s">
        <v>726</v>
      </c>
      <c r="E47" s="96" t="s">
        <v>729</v>
      </c>
      <c r="F47" s="89" t="s">
        <v>728</v>
      </c>
      <c r="G47" s="88" t="s">
        <v>721</v>
      </c>
    </row>
    <row r="48" spans="1:7" s="77" customFormat="1" ht="15" hidden="1" customHeight="1">
      <c r="A48" s="83">
        <v>45902</v>
      </c>
      <c r="B48" s="84" t="s">
        <v>516</v>
      </c>
      <c r="C48" s="77" t="s">
        <v>717</v>
      </c>
      <c r="D48" s="86" t="s">
        <v>726</v>
      </c>
      <c r="E48" s="96" t="s">
        <v>730</v>
      </c>
      <c r="F48" s="89" t="s">
        <v>728</v>
      </c>
      <c r="G48" s="88" t="s">
        <v>721</v>
      </c>
    </row>
    <row r="49" spans="1:7" s="77" customFormat="1" ht="15" hidden="1" customHeight="1">
      <c r="A49" s="83">
        <v>45902</v>
      </c>
      <c r="B49" s="84" t="s">
        <v>516</v>
      </c>
      <c r="C49" s="77" t="s">
        <v>717</v>
      </c>
      <c r="D49" s="86" t="s">
        <v>726</v>
      </c>
      <c r="E49" s="96" t="s">
        <v>731</v>
      </c>
      <c r="F49" s="89" t="s">
        <v>728</v>
      </c>
      <c r="G49" s="88" t="s">
        <v>721</v>
      </c>
    </row>
    <row r="50" spans="1:7" s="77" customFormat="1" ht="15" hidden="1" customHeight="1">
      <c r="A50" s="83">
        <v>45902</v>
      </c>
      <c r="B50" s="84" t="s">
        <v>516</v>
      </c>
      <c r="C50" s="77" t="s">
        <v>717</v>
      </c>
      <c r="D50" s="86" t="s">
        <v>726</v>
      </c>
      <c r="E50" s="96" t="s">
        <v>732</v>
      </c>
      <c r="F50" s="89" t="s">
        <v>728</v>
      </c>
      <c r="G50" s="88" t="s">
        <v>721</v>
      </c>
    </row>
    <row r="51" spans="1:7" s="77" customFormat="1" ht="15" hidden="1" customHeight="1">
      <c r="A51" s="83">
        <v>45902</v>
      </c>
      <c r="B51" s="84" t="s">
        <v>516</v>
      </c>
      <c r="C51" s="77" t="s">
        <v>717</v>
      </c>
      <c r="D51" s="86" t="s">
        <v>726</v>
      </c>
      <c r="E51" s="96" t="s">
        <v>733</v>
      </c>
      <c r="F51" s="89" t="s">
        <v>728</v>
      </c>
      <c r="G51" s="88" t="s">
        <v>721</v>
      </c>
    </row>
    <row r="52" spans="1:7" s="77" customFormat="1" ht="15" hidden="1" customHeight="1">
      <c r="A52" s="83">
        <v>45902</v>
      </c>
      <c r="B52" s="84" t="s">
        <v>516</v>
      </c>
      <c r="C52" s="77" t="s">
        <v>717</v>
      </c>
      <c r="D52" s="86" t="s">
        <v>726</v>
      </c>
      <c r="E52" s="96" t="s">
        <v>734</v>
      </c>
      <c r="F52" s="89" t="s">
        <v>728</v>
      </c>
      <c r="G52" s="88" t="s">
        <v>721</v>
      </c>
    </row>
    <row r="53" spans="1:7" s="77" customFormat="1" ht="15" hidden="1" customHeight="1">
      <c r="A53" s="83">
        <v>45902</v>
      </c>
      <c r="B53" s="84" t="s">
        <v>516</v>
      </c>
      <c r="C53" s="77" t="s">
        <v>717</v>
      </c>
      <c r="D53" s="86" t="s">
        <v>736</v>
      </c>
      <c r="E53" s="96" t="s">
        <v>737</v>
      </c>
      <c r="F53" s="89" t="s">
        <v>728</v>
      </c>
      <c r="G53" s="88" t="s">
        <v>721</v>
      </c>
    </row>
    <row r="54" spans="1:7" s="77" customFormat="1" ht="15" hidden="1" customHeight="1">
      <c r="A54" s="83">
        <v>45902</v>
      </c>
      <c r="B54" s="84" t="s">
        <v>516</v>
      </c>
      <c r="C54" s="77" t="s">
        <v>717</v>
      </c>
      <c r="D54" s="86" t="s">
        <v>736</v>
      </c>
      <c r="E54" s="96" t="s">
        <v>738</v>
      </c>
      <c r="F54" s="89" t="s">
        <v>728</v>
      </c>
      <c r="G54" s="88" t="s">
        <v>721</v>
      </c>
    </row>
    <row r="55" spans="1:7" s="77" customFormat="1" ht="15" hidden="1" customHeight="1">
      <c r="A55" s="83">
        <v>45902</v>
      </c>
      <c r="B55" s="84" t="s">
        <v>516</v>
      </c>
      <c r="C55" s="77" t="s">
        <v>717</v>
      </c>
      <c r="D55" s="85" t="s">
        <v>739</v>
      </c>
      <c r="E55" s="96" t="s">
        <v>740</v>
      </c>
      <c r="F55" s="89" t="s">
        <v>728</v>
      </c>
      <c r="G55" s="88" t="s">
        <v>721</v>
      </c>
    </row>
    <row r="56" spans="1:7" s="77" customFormat="1" ht="15" hidden="1" customHeight="1">
      <c r="A56" s="83">
        <v>45902</v>
      </c>
      <c r="B56" s="84" t="s">
        <v>516</v>
      </c>
      <c r="C56" s="77" t="s">
        <v>717</v>
      </c>
      <c r="D56" s="85" t="s">
        <v>739</v>
      </c>
      <c r="E56" s="96" t="s">
        <v>741</v>
      </c>
      <c r="F56" s="89" t="s">
        <v>742</v>
      </c>
      <c r="G56" s="88" t="s">
        <v>721</v>
      </c>
    </row>
    <row r="57" spans="1:7" s="77" customFormat="1" ht="15" hidden="1" customHeight="1">
      <c r="A57" s="83">
        <v>45902</v>
      </c>
      <c r="B57" s="84" t="s">
        <v>516</v>
      </c>
      <c r="C57" s="77" t="s">
        <v>717</v>
      </c>
      <c r="D57" s="85" t="s">
        <v>739</v>
      </c>
      <c r="E57" s="96" t="s">
        <v>743</v>
      </c>
      <c r="F57" s="89" t="s">
        <v>728</v>
      </c>
      <c r="G57" s="88" t="s">
        <v>721</v>
      </c>
    </row>
    <row r="58" spans="1:7" s="77" customFormat="1" ht="15" hidden="1" customHeight="1">
      <c r="A58" s="83">
        <v>45902</v>
      </c>
      <c r="B58" s="84" t="s">
        <v>516</v>
      </c>
      <c r="C58" s="77" t="s">
        <v>717</v>
      </c>
      <c r="D58" s="85" t="s">
        <v>744</v>
      </c>
      <c r="E58" s="96" t="s">
        <v>745</v>
      </c>
      <c r="F58" s="89" t="s">
        <v>728</v>
      </c>
      <c r="G58" s="88" t="s">
        <v>721</v>
      </c>
    </row>
    <row r="59" spans="1:7" s="77" customFormat="1" ht="15" hidden="1" customHeight="1">
      <c r="A59" s="83">
        <v>45902</v>
      </c>
      <c r="B59" s="84" t="s">
        <v>516</v>
      </c>
      <c r="C59" s="77" t="s">
        <v>717</v>
      </c>
      <c r="D59" s="85" t="s">
        <v>744</v>
      </c>
      <c r="E59" s="96" t="s">
        <v>746</v>
      </c>
      <c r="F59" s="89" t="s">
        <v>728</v>
      </c>
      <c r="G59" s="88" t="s">
        <v>721</v>
      </c>
    </row>
    <row r="60" spans="1:7" s="77" customFormat="1" ht="15" hidden="1" customHeight="1">
      <c r="A60" s="83">
        <v>45902</v>
      </c>
      <c r="B60" s="84" t="s">
        <v>516</v>
      </c>
      <c r="C60" s="77" t="s">
        <v>717</v>
      </c>
      <c r="D60" s="85" t="s">
        <v>744</v>
      </c>
      <c r="E60" s="96" t="s">
        <v>747</v>
      </c>
      <c r="F60" s="89" t="s">
        <v>721</v>
      </c>
      <c r="G60" s="88" t="s">
        <v>721</v>
      </c>
    </row>
    <row r="61" spans="1:7" s="77" customFormat="1" ht="15" hidden="1" customHeight="1">
      <c r="A61" s="83">
        <v>45902</v>
      </c>
      <c r="B61" s="84" t="s">
        <v>516</v>
      </c>
      <c r="C61" s="77" t="s">
        <v>717</v>
      </c>
      <c r="D61" s="85" t="s">
        <v>744</v>
      </c>
      <c r="E61" s="96" t="s">
        <v>748</v>
      </c>
      <c r="F61" s="89" t="s">
        <v>721</v>
      </c>
      <c r="G61" s="88" t="s">
        <v>721</v>
      </c>
    </row>
    <row r="62" spans="1:7" s="77" customFormat="1" ht="15" hidden="1" customHeight="1">
      <c r="A62" s="83">
        <v>45902</v>
      </c>
      <c r="B62" s="84" t="s">
        <v>516</v>
      </c>
      <c r="C62" s="77" t="s">
        <v>717</v>
      </c>
      <c r="D62" s="85" t="s">
        <v>744</v>
      </c>
      <c r="E62" s="96" t="s">
        <v>749</v>
      </c>
      <c r="F62" s="89" t="s">
        <v>728</v>
      </c>
      <c r="G62" s="88" t="s">
        <v>721</v>
      </c>
    </row>
    <row r="63" spans="1:7" s="77" customFormat="1" ht="15" hidden="1" customHeight="1">
      <c r="A63" s="83">
        <v>45902</v>
      </c>
      <c r="B63" s="84" t="s">
        <v>516</v>
      </c>
      <c r="C63" s="77" t="s">
        <v>717</v>
      </c>
      <c r="D63" s="85" t="s">
        <v>750</v>
      </c>
      <c r="E63" s="96" t="s">
        <v>751</v>
      </c>
      <c r="F63" s="89" t="s">
        <v>728</v>
      </c>
      <c r="G63" s="88" t="s">
        <v>721</v>
      </c>
    </row>
    <row r="64" spans="1:7" s="77" customFormat="1" ht="15" hidden="1" customHeight="1">
      <c r="A64" s="83">
        <v>45902</v>
      </c>
      <c r="B64" s="84" t="s">
        <v>516</v>
      </c>
      <c r="C64" s="77" t="s">
        <v>717</v>
      </c>
      <c r="D64" s="85" t="s">
        <v>750</v>
      </c>
      <c r="E64" s="96" t="s">
        <v>752</v>
      </c>
      <c r="F64" s="89" t="s">
        <v>728</v>
      </c>
      <c r="G64" s="88" t="s">
        <v>721</v>
      </c>
    </row>
    <row r="65" spans="1:7" s="77" customFormat="1" ht="15" hidden="1" customHeight="1">
      <c r="A65" s="83">
        <v>45902</v>
      </c>
      <c r="B65" s="84" t="s">
        <v>516</v>
      </c>
      <c r="C65" s="77" t="s">
        <v>717</v>
      </c>
      <c r="D65" s="85" t="s">
        <v>750</v>
      </c>
      <c r="E65" s="96" t="s">
        <v>753</v>
      </c>
      <c r="F65" s="89" t="s">
        <v>728</v>
      </c>
      <c r="G65" s="88" t="s">
        <v>721</v>
      </c>
    </row>
    <row r="66" spans="1:7" s="77" customFormat="1" ht="15" hidden="1" customHeight="1">
      <c r="A66" s="83">
        <v>45902</v>
      </c>
      <c r="B66" s="84" t="s">
        <v>516</v>
      </c>
      <c r="C66" s="77" t="s">
        <v>717</v>
      </c>
      <c r="D66" s="85" t="s">
        <v>750</v>
      </c>
      <c r="E66" s="96" t="s">
        <v>754</v>
      </c>
      <c r="F66" s="89" t="s">
        <v>728</v>
      </c>
      <c r="G66" s="88" t="s">
        <v>721</v>
      </c>
    </row>
    <row r="67" spans="1:7" s="77" customFormat="1" ht="15" hidden="1" customHeight="1">
      <c r="A67" s="83">
        <v>45902</v>
      </c>
      <c r="B67" s="84" t="s">
        <v>516</v>
      </c>
      <c r="C67" s="77" t="s">
        <v>717</v>
      </c>
      <c r="D67" s="85" t="s">
        <v>755</v>
      </c>
      <c r="E67" s="86" t="s">
        <v>756</v>
      </c>
      <c r="F67" s="89" t="s">
        <v>728</v>
      </c>
      <c r="G67" s="88" t="s">
        <v>721</v>
      </c>
    </row>
    <row r="68" spans="1:7" s="77" customFormat="1" ht="15" hidden="1" customHeight="1">
      <c r="A68" s="83">
        <v>45902</v>
      </c>
      <c r="B68" s="84" t="s">
        <v>516</v>
      </c>
      <c r="C68" s="77" t="s">
        <v>717</v>
      </c>
      <c r="D68" s="85" t="s">
        <v>755</v>
      </c>
      <c r="E68" s="96" t="s">
        <v>757</v>
      </c>
      <c r="F68" s="89" t="s">
        <v>728</v>
      </c>
      <c r="G68" s="88" t="s">
        <v>721</v>
      </c>
    </row>
    <row r="69" spans="1:7" s="77" customFormat="1" ht="15" hidden="1" customHeight="1">
      <c r="A69" s="83">
        <v>45902</v>
      </c>
      <c r="B69" s="84" t="s">
        <v>516</v>
      </c>
      <c r="C69" s="77" t="s">
        <v>717</v>
      </c>
      <c r="D69" s="85" t="s">
        <v>758</v>
      </c>
      <c r="E69" s="96" t="s">
        <v>759</v>
      </c>
      <c r="F69" s="89" t="s">
        <v>728</v>
      </c>
      <c r="G69" s="88" t="s">
        <v>721</v>
      </c>
    </row>
    <row r="70" spans="1:7" s="77" customFormat="1" ht="15" hidden="1" customHeight="1">
      <c r="A70" s="83">
        <v>45902</v>
      </c>
      <c r="B70" s="84" t="s">
        <v>516</v>
      </c>
      <c r="C70" s="77" t="s">
        <v>717</v>
      </c>
      <c r="D70" s="85" t="s">
        <v>758</v>
      </c>
      <c r="E70" s="96" t="s">
        <v>760</v>
      </c>
      <c r="F70" s="89" t="s">
        <v>728</v>
      </c>
      <c r="G70" s="88" t="s">
        <v>721</v>
      </c>
    </row>
    <row r="71" spans="1:7" s="77" customFormat="1" ht="15" hidden="1" customHeight="1">
      <c r="A71" s="83">
        <v>45902</v>
      </c>
      <c r="B71" s="84" t="s">
        <v>516</v>
      </c>
      <c r="C71" s="77" t="s">
        <v>717</v>
      </c>
      <c r="D71" s="85" t="s">
        <v>758</v>
      </c>
      <c r="E71" s="96" t="s">
        <v>761</v>
      </c>
      <c r="F71" s="89" t="s">
        <v>728</v>
      </c>
      <c r="G71" s="88" t="s">
        <v>721</v>
      </c>
    </row>
    <row r="72" spans="1:7" s="77" customFormat="1" ht="15" hidden="1" customHeight="1">
      <c r="A72" s="83">
        <v>45902</v>
      </c>
      <c r="B72" s="84" t="s">
        <v>516</v>
      </c>
      <c r="C72" s="77" t="s">
        <v>717</v>
      </c>
      <c r="D72" s="85" t="s">
        <v>758</v>
      </c>
      <c r="E72" s="96" t="s">
        <v>762</v>
      </c>
      <c r="F72" s="89" t="s">
        <v>728</v>
      </c>
      <c r="G72" s="88" t="s">
        <v>721</v>
      </c>
    </row>
    <row r="73" spans="1:7" s="77" customFormat="1" ht="15" hidden="1" customHeight="1">
      <c r="A73" s="83">
        <v>45902</v>
      </c>
      <c r="B73" s="84" t="s">
        <v>516</v>
      </c>
      <c r="C73" s="77" t="s">
        <v>717</v>
      </c>
      <c r="D73" s="85" t="s">
        <v>758</v>
      </c>
      <c r="E73" s="96" t="s">
        <v>763</v>
      </c>
      <c r="F73" s="89" t="s">
        <v>728</v>
      </c>
      <c r="G73" s="88" t="s">
        <v>721</v>
      </c>
    </row>
    <row r="74" spans="1:7" s="77" customFormat="1" ht="15" hidden="1" customHeight="1">
      <c r="A74" s="83">
        <v>45902</v>
      </c>
      <c r="B74" s="84" t="s">
        <v>516</v>
      </c>
      <c r="C74" s="77" t="s">
        <v>717</v>
      </c>
      <c r="D74" s="85" t="s">
        <v>758</v>
      </c>
      <c r="E74" s="96" t="s">
        <v>764</v>
      </c>
      <c r="F74" s="89" t="s">
        <v>728</v>
      </c>
      <c r="G74" s="88" t="s">
        <v>721</v>
      </c>
    </row>
    <row r="75" spans="1:7" s="77" customFormat="1" ht="15" hidden="1" customHeight="1">
      <c r="A75" s="83">
        <v>45902</v>
      </c>
      <c r="B75" s="84" t="s">
        <v>516</v>
      </c>
      <c r="C75" s="77" t="s">
        <v>717</v>
      </c>
      <c r="D75" s="85" t="s">
        <v>718</v>
      </c>
      <c r="E75" s="86" t="s">
        <v>766</v>
      </c>
      <c r="F75" s="89" t="s">
        <v>728</v>
      </c>
      <c r="G75" s="88" t="s">
        <v>721</v>
      </c>
    </row>
    <row r="76" spans="1:7" s="77" customFormat="1" ht="15" hidden="1" customHeight="1">
      <c r="A76" s="83">
        <v>45902</v>
      </c>
      <c r="B76" s="84" t="s">
        <v>516</v>
      </c>
      <c r="C76" s="77" t="s">
        <v>717</v>
      </c>
      <c r="D76" s="85" t="s">
        <v>718</v>
      </c>
      <c r="E76" s="86" t="s">
        <v>767</v>
      </c>
      <c r="F76" s="89" t="s">
        <v>728</v>
      </c>
      <c r="G76" s="88" t="s">
        <v>721</v>
      </c>
    </row>
    <row r="77" spans="1:7" s="77" customFormat="1" ht="15" hidden="1" customHeight="1">
      <c r="A77" s="83">
        <v>45902</v>
      </c>
      <c r="B77" s="84" t="s">
        <v>516</v>
      </c>
      <c r="C77" s="77" t="s">
        <v>717</v>
      </c>
      <c r="D77" s="85" t="s">
        <v>718</v>
      </c>
      <c r="E77" s="86" t="s">
        <v>768</v>
      </c>
      <c r="F77" s="89" t="s">
        <v>728</v>
      </c>
      <c r="G77" s="88" t="s">
        <v>721</v>
      </c>
    </row>
    <row r="78" spans="1:7" s="77" customFormat="1" ht="15" hidden="1" customHeight="1">
      <c r="A78" s="83">
        <v>45902</v>
      </c>
      <c r="B78" s="84" t="s">
        <v>516</v>
      </c>
      <c r="C78" s="77" t="s">
        <v>717</v>
      </c>
      <c r="D78" s="85" t="s">
        <v>718</v>
      </c>
      <c r="E78" s="86" t="s">
        <v>769</v>
      </c>
      <c r="F78" s="89" t="s">
        <v>728</v>
      </c>
      <c r="G78" s="88" t="s">
        <v>721</v>
      </c>
    </row>
    <row r="79" spans="1:7" s="77" customFormat="1" ht="15" hidden="1" customHeight="1">
      <c r="A79" s="83">
        <v>45902</v>
      </c>
      <c r="B79" s="84" t="s">
        <v>516</v>
      </c>
      <c r="C79" s="77" t="s">
        <v>717</v>
      </c>
      <c r="D79" s="85" t="s">
        <v>718</v>
      </c>
      <c r="E79" s="86" t="s">
        <v>770</v>
      </c>
      <c r="F79" s="89" t="s">
        <v>728</v>
      </c>
      <c r="G79" s="88" t="s">
        <v>721</v>
      </c>
    </row>
    <row r="80" spans="1:7" s="77" customFormat="1" ht="15" hidden="1" customHeight="1">
      <c r="A80" s="83">
        <v>45902</v>
      </c>
      <c r="B80" s="84" t="s">
        <v>516</v>
      </c>
      <c r="C80" s="77" t="s">
        <v>717</v>
      </c>
      <c r="D80" s="85" t="s">
        <v>718</v>
      </c>
      <c r="E80" s="86" t="s">
        <v>771</v>
      </c>
      <c r="F80" s="89" t="s">
        <v>728</v>
      </c>
      <c r="G80" s="88" t="s">
        <v>721</v>
      </c>
    </row>
    <row r="81" spans="1:7" s="77" customFormat="1" ht="15" hidden="1" customHeight="1">
      <c r="A81" s="83">
        <v>45902</v>
      </c>
      <c r="B81" s="84" t="s">
        <v>516</v>
      </c>
      <c r="C81" s="77" t="s">
        <v>717</v>
      </c>
      <c r="D81" s="85" t="s">
        <v>718</v>
      </c>
      <c r="E81" s="86" t="s">
        <v>772</v>
      </c>
      <c r="F81" s="89" t="s">
        <v>728</v>
      </c>
      <c r="G81" s="88" t="s">
        <v>721</v>
      </c>
    </row>
    <row r="82" spans="1:7" s="77" customFormat="1" ht="15" hidden="1" customHeight="1">
      <c r="A82" s="83">
        <v>45902</v>
      </c>
      <c r="B82" s="84" t="s">
        <v>614</v>
      </c>
      <c r="C82" s="77" t="s">
        <v>717</v>
      </c>
      <c r="D82" s="86" t="s">
        <v>726</v>
      </c>
      <c r="E82" s="95" t="s">
        <v>727</v>
      </c>
      <c r="F82" s="89" t="s">
        <v>728</v>
      </c>
      <c r="G82" s="88" t="s">
        <v>721</v>
      </c>
    </row>
    <row r="83" spans="1:7" s="77" customFormat="1" ht="15" hidden="1" customHeight="1">
      <c r="A83" s="83">
        <v>45902</v>
      </c>
      <c r="B83" s="84" t="s">
        <v>614</v>
      </c>
      <c r="C83" s="77" t="s">
        <v>717</v>
      </c>
      <c r="D83" s="86" t="s">
        <v>726</v>
      </c>
      <c r="E83" s="96" t="s">
        <v>729</v>
      </c>
      <c r="F83" s="89" t="s">
        <v>728</v>
      </c>
      <c r="G83" s="88" t="s">
        <v>721</v>
      </c>
    </row>
    <row r="84" spans="1:7" s="77" customFormat="1" ht="15" hidden="1" customHeight="1">
      <c r="A84" s="83">
        <v>45902</v>
      </c>
      <c r="B84" s="84" t="s">
        <v>614</v>
      </c>
      <c r="C84" s="77" t="s">
        <v>717</v>
      </c>
      <c r="D84" s="86" t="s">
        <v>726</v>
      </c>
      <c r="E84" s="96" t="s">
        <v>730</v>
      </c>
      <c r="F84" s="89" t="s">
        <v>728</v>
      </c>
      <c r="G84" s="88" t="s">
        <v>721</v>
      </c>
    </row>
    <row r="85" spans="1:7" s="77" customFormat="1" ht="15" hidden="1" customHeight="1">
      <c r="A85" s="83">
        <v>45902</v>
      </c>
      <c r="B85" s="84" t="s">
        <v>614</v>
      </c>
      <c r="C85" s="77" t="s">
        <v>717</v>
      </c>
      <c r="D85" s="86" t="s">
        <v>726</v>
      </c>
      <c r="E85" s="96" t="s">
        <v>731</v>
      </c>
      <c r="F85" s="89" t="s">
        <v>728</v>
      </c>
      <c r="G85" s="88" t="s">
        <v>721</v>
      </c>
    </row>
    <row r="86" spans="1:7" s="77" customFormat="1" ht="15" hidden="1" customHeight="1">
      <c r="A86" s="83">
        <v>45902</v>
      </c>
      <c r="B86" s="84" t="s">
        <v>614</v>
      </c>
      <c r="C86" s="77" t="s">
        <v>717</v>
      </c>
      <c r="D86" s="86" t="s">
        <v>726</v>
      </c>
      <c r="E86" s="96" t="s">
        <v>732</v>
      </c>
      <c r="F86" s="89" t="s">
        <v>728</v>
      </c>
      <c r="G86" s="88" t="s">
        <v>721</v>
      </c>
    </row>
    <row r="87" spans="1:7" s="77" customFormat="1" ht="15" hidden="1" customHeight="1">
      <c r="A87" s="83">
        <v>45902</v>
      </c>
      <c r="B87" s="84" t="s">
        <v>614</v>
      </c>
      <c r="C87" s="77" t="s">
        <v>717</v>
      </c>
      <c r="D87" s="86" t="s">
        <v>726</v>
      </c>
      <c r="E87" s="96" t="s">
        <v>733</v>
      </c>
      <c r="F87" s="89" t="s">
        <v>728</v>
      </c>
      <c r="G87" s="88" t="s">
        <v>721</v>
      </c>
    </row>
    <row r="88" spans="1:7" s="77" customFormat="1" ht="15" hidden="1" customHeight="1">
      <c r="A88" s="83">
        <v>45902</v>
      </c>
      <c r="B88" s="84" t="s">
        <v>614</v>
      </c>
      <c r="C88" s="77" t="s">
        <v>717</v>
      </c>
      <c r="D88" s="86" t="s">
        <v>726</v>
      </c>
      <c r="E88" s="96" t="s">
        <v>734</v>
      </c>
      <c r="F88" s="89" t="s">
        <v>728</v>
      </c>
      <c r="G88" s="88" t="s">
        <v>721</v>
      </c>
    </row>
    <row r="89" spans="1:7" s="77" customFormat="1" ht="15" hidden="1" customHeight="1">
      <c r="A89" s="83">
        <v>45902</v>
      </c>
      <c r="B89" s="84" t="s">
        <v>614</v>
      </c>
      <c r="C89" s="77" t="s">
        <v>717</v>
      </c>
      <c r="D89" s="86" t="s">
        <v>726</v>
      </c>
      <c r="E89" s="96" t="s">
        <v>735</v>
      </c>
      <c r="F89" s="89" t="s">
        <v>728</v>
      </c>
      <c r="G89" s="88" t="s">
        <v>721</v>
      </c>
    </row>
    <row r="90" spans="1:7" s="77" customFormat="1" ht="15" hidden="1" customHeight="1">
      <c r="A90" s="83">
        <v>45902</v>
      </c>
      <c r="B90" s="84" t="s">
        <v>614</v>
      </c>
      <c r="C90" s="77" t="s">
        <v>717</v>
      </c>
      <c r="D90" s="86" t="s">
        <v>736</v>
      </c>
      <c r="E90" s="96" t="s">
        <v>737</v>
      </c>
      <c r="F90" s="89" t="s">
        <v>728</v>
      </c>
      <c r="G90" s="88" t="s">
        <v>721</v>
      </c>
    </row>
    <row r="91" spans="1:7" s="77" customFormat="1" ht="15" hidden="1" customHeight="1">
      <c r="A91" s="83">
        <v>45902</v>
      </c>
      <c r="B91" s="84" t="s">
        <v>614</v>
      </c>
      <c r="C91" s="77" t="s">
        <v>717</v>
      </c>
      <c r="D91" s="86" t="s">
        <v>736</v>
      </c>
      <c r="E91" s="96" t="s">
        <v>738</v>
      </c>
      <c r="F91" s="89" t="s">
        <v>728</v>
      </c>
      <c r="G91" s="88" t="s">
        <v>721</v>
      </c>
    </row>
    <row r="92" spans="1:7" s="77" customFormat="1" ht="15" hidden="1" customHeight="1">
      <c r="A92" s="83">
        <v>45902</v>
      </c>
      <c r="B92" s="84" t="s">
        <v>614</v>
      </c>
      <c r="C92" s="77" t="s">
        <v>717</v>
      </c>
      <c r="D92" s="85" t="s">
        <v>739</v>
      </c>
      <c r="E92" s="96" t="s">
        <v>740</v>
      </c>
      <c r="F92" s="89" t="s">
        <v>728</v>
      </c>
      <c r="G92" s="88" t="s">
        <v>721</v>
      </c>
    </row>
    <row r="93" spans="1:7" s="77" customFormat="1" ht="15" hidden="1" customHeight="1">
      <c r="A93" s="83">
        <v>45902</v>
      </c>
      <c r="B93" s="84" t="s">
        <v>614</v>
      </c>
      <c r="C93" s="77" t="s">
        <v>717</v>
      </c>
      <c r="D93" s="85" t="s">
        <v>739</v>
      </c>
      <c r="E93" s="96" t="s">
        <v>741</v>
      </c>
      <c r="F93" s="89" t="s">
        <v>728</v>
      </c>
      <c r="G93" s="88" t="s">
        <v>721</v>
      </c>
    </row>
    <row r="94" spans="1:7" s="77" customFormat="1" ht="15" hidden="1" customHeight="1">
      <c r="A94" s="83">
        <v>45902</v>
      </c>
      <c r="B94" s="84" t="s">
        <v>614</v>
      </c>
      <c r="C94" s="77" t="s">
        <v>717</v>
      </c>
      <c r="D94" s="85" t="s">
        <v>739</v>
      </c>
      <c r="E94" s="96" t="s">
        <v>743</v>
      </c>
      <c r="F94" s="89" t="s">
        <v>742</v>
      </c>
      <c r="G94" s="88" t="s">
        <v>721</v>
      </c>
    </row>
    <row r="95" spans="1:7" s="77" customFormat="1" ht="15" hidden="1" customHeight="1">
      <c r="A95" s="83">
        <v>45902</v>
      </c>
      <c r="B95" s="84" t="s">
        <v>614</v>
      </c>
      <c r="C95" s="77" t="s">
        <v>717</v>
      </c>
      <c r="D95" s="85" t="s">
        <v>744</v>
      </c>
      <c r="E95" s="96" t="s">
        <v>745</v>
      </c>
      <c r="F95" s="89" t="s">
        <v>728</v>
      </c>
      <c r="G95" s="88" t="s">
        <v>721</v>
      </c>
    </row>
    <row r="96" spans="1:7" s="77" customFormat="1" ht="15" hidden="1" customHeight="1">
      <c r="A96" s="83">
        <v>45902</v>
      </c>
      <c r="B96" s="84" t="s">
        <v>614</v>
      </c>
      <c r="C96" s="77" t="s">
        <v>717</v>
      </c>
      <c r="D96" s="85" t="s">
        <v>744</v>
      </c>
      <c r="E96" s="96" t="s">
        <v>746</v>
      </c>
      <c r="F96" s="89" t="s">
        <v>728</v>
      </c>
      <c r="G96" s="88" t="s">
        <v>721</v>
      </c>
    </row>
    <row r="97" spans="1:7" s="77" customFormat="1" ht="15" hidden="1" customHeight="1">
      <c r="A97" s="83">
        <v>45902</v>
      </c>
      <c r="B97" s="84" t="s">
        <v>614</v>
      </c>
      <c r="C97" s="77" t="s">
        <v>717</v>
      </c>
      <c r="D97" s="85" t="s">
        <v>744</v>
      </c>
      <c r="E97" s="96" t="s">
        <v>747</v>
      </c>
      <c r="F97" s="89" t="s">
        <v>728</v>
      </c>
      <c r="G97" s="88" t="s">
        <v>721</v>
      </c>
    </row>
    <row r="98" spans="1:7" s="77" customFormat="1" ht="15" hidden="1" customHeight="1">
      <c r="A98" s="83">
        <v>45902</v>
      </c>
      <c r="B98" s="84" t="s">
        <v>614</v>
      </c>
      <c r="C98" s="77" t="s">
        <v>717</v>
      </c>
      <c r="D98" s="85" t="s">
        <v>744</v>
      </c>
      <c r="E98" s="96" t="s">
        <v>748</v>
      </c>
      <c r="F98" s="89" t="s">
        <v>721</v>
      </c>
      <c r="G98" s="88" t="s">
        <v>721</v>
      </c>
    </row>
    <row r="99" spans="1:7" s="77" customFormat="1" ht="15" hidden="1" customHeight="1">
      <c r="A99" s="83">
        <v>45902</v>
      </c>
      <c r="B99" s="84" t="s">
        <v>614</v>
      </c>
      <c r="C99" s="77" t="s">
        <v>717</v>
      </c>
      <c r="D99" s="85" t="s">
        <v>744</v>
      </c>
      <c r="E99" s="96" t="s">
        <v>749</v>
      </c>
      <c r="F99" s="89" t="s">
        <v>721</v>
      </c>
      <c r="G99" s="88" t="s">
        <v>721</v>
      </c>
    </row>
    <row r="100" spans="1:7" s="77" customFormat="1" ht="15" hidden="1" customHeight="1">
      <c r="A100" s="83">
        <v>45902</v>
      </c>
      <c r="B100" s="84" t="s">
        <v>614</v>
      </c>
      <c r="C100" s="77" t="s">
        <v>717</v>
      </c>
      <c r="D100" s="85" t="s">
        <v>750</v>
      </c>
      <c r="E100" s="96" t="s">
        <v>751</v>
      </c>
      <c r="F100" s="89" t="s">
        <v>728</v>
      </c>
      <c r="G100" s="88" t="s">
        <v>721</v>
      </c>
    </row>
    <row r="101" spans="1:7" s="77" customFormat="1" ht="15" hidden="1" customHeight="1">
      <c r="A101" s="83">
        <v>45902</v>
      </c>
      <c r="B101" s="84" t="s">
        <v>614</v>
      </c>
      <c r="C101" s="77" t="s">
        <v>717</v>
      </c>
      <c r="D101" s="85" t="s">
        <v>750</v>
      </c>
      <c r="E101" s="96" t="s">
        <v>752</v>
      </c>
      <c r="F101" s="89" t="s">
        <v>728</v>
      </c>
      <c r="G101" s="88" t="s">
        <v>721</v>
      </c>
    </row>
    <row r="102" spans="1:7" s="77" customFormat="1" ht="15" hidden="1" customHeight="1">
      <c r="A102" s="83">
        <v>45902</v>
      </c>
      <c r="B102" s="84" t="s">
        <v>614</v>
      </c>
      <c r="C102" s="77" t="s">
        <v>717</v>
      </c>
      <c r="D102" s="85" t="s">
        <v>750</v>
      </c>
      <c r="E102" s="96" t="s">
        <v>753</v>
      </c>
      <c r="F102" s="89" t="s">
        <v>728</v>
      </c>
      <c r="G102" s="88" t="s">
        <v>721</v>
      </c>
    </row>
    <row r="103" spans="1:7" s="77" customFormat="1" ht="15" hidden="1" customHeight="1">
      <c r="A103" s="83">
        <v>45902</v>
      </c>
      <c r="B103" s="84" t="s">
        <v>614</v>
      </c>
      <c r="C103" s="77" t="s">
        <v>717</v>
      </c>
      <c r="D103" s="85" t="s">
        <v>750</v>
      </c>
      <c r="E103" s="96" t="s">
        <v>754</v>
      </c>
      <c r="F103" s="89" t="s">
        <v>728</v>
      </c>
      <c r="G103" s="88" t="s">
        <v>721</v>
      </c>
    </row>
    <row r="104" spans="1:7" s="77" customFormat="1" ht="15" hidden="1" customHeight="1">
      <c r="A104" s="83">
        <v>45902</v>
      </c>
      <c r="B104" s="84" t="s">
        <v>614</v>
      </c>
      <c r="C104" s="77" t="s">
        <v>717</v>
      </c>
      <c r="D104" s="85" t="s">
        <v>755</v>
      </c>
      <c r="E104" s="86" t="s">
        <v>756</v>
      </c>
      <c r="F104" s="89" t="s">
        <v>728</v>
      </c>
      <c r="G104" s="88" t="s">
        <v>721</v>
      </c>
    </row>
    <row r="105" spans="1:7" s="77" customFormat="1" ht="15" hidden="1" customHeight="1">
      <c r="A105" s="83">
        <v>45902</v>
      </c>
      <c r="B105" s="84" t="s">
        <v>614</v>
      </c>
      <c r="C105" s="77" t="s">
        <v>717</v>
      </c>
      <c r="D105" s="85" t="s">
        <v>755</v>
      </c>
      <c r="E105" s="96" t="s">
        <v>757</v>
      </c>
      <c r="F105" s="89" t="s">
        <v>728</v>
      </c>
      <c r="G105" s="88" t="s">
        <v>721</v>
      </c>
    </row>
    <row r="106" spans="1:7" s="77" customFormat="1" ht="15" hidden="1" customHeight="1">
      <c r="A106" s="83">
        <v>45902</v>
      </c>
      <c r="B106" s="84" t="s">
        <v>614</v>
      </c>
      <c r="C106" s="77" t="s">
        <v>717</v>
      </c>
      <c r="D106" s="85" t="s">
        <v>758</v>
      </c>
      <c r="E106" s="96" t="s">
        <v>759</v>
      </c>
      <c r="F106" s="89" t="s">
        <v>728</v>
      </c>
      <c r="G106" s="88" t="s">
        <v>721</v>
      </c>
    </row>
    <row r="107" spans="1:7" s="77" customFormat="1" ht="15" hidden="1" customHeight="1">
      <c r="A107" s="83">
        <v>45902</v>
      </c>
      <c r="B107" s="84" t="s">
        <v>614</v>
      </c>
      <c r="C107" s="77" t="s">
        <v>717</v>
      </c>
      <c r="D107" s="85" t="s">
        <v>758</v>
      </c>
      <c r="E107" s="96" t="s">
        <v>760</v>
      </c>
      <c r="F107" s="89" t="s">
        <v>728</v>
      </c>
      <c r="G107" s="88" t="s">
        <v>721</v>
      </c>
    </row>
    <row r="108" spans="1:7" s="77" customFormat="1" ht="15" hidden="1" customHeight="1">
      <c r="A108" s="83">
        <v>45902</v>
      </c>
      <c r="B108" s="84" t="s">
        <v>614</v>
      </c>
      <c r="C108" s="77" t="s">
        <v>717</v>
      </c>
      <c r="D108" s="85" t="s">
        <v>758</v>
      </c>
      <c r="E108" s="96" t="s">
        <v>761</v>
      </c>
      <c r="F108" s="89" t="s">
        <v>728</v>
      </c>
      <c r="G108" s="88" t="s">
        <v>721</v>
      </c>
    </row>
    <row r="109" spans="1:7" s="77" customFormat="1" ht="15" hidden="1" customHeight="1">
      <c r="A109" s="83">
        <v>45902</v>
      </c>
      <c r="B109" s="84" t="s">
        <v>614</v>
      </c>
      <c r="C109" s="77" t="s">
        <v>717</v>
      </c>
      <c r="D109" s="85" t="s">
        <v>758</v>
      </c>
      <c r="E109" s="96" t="s">
        <v>762</v>
      </c>
      <c r="F109" s="89" t="s">
        <v>728</v>
      </c>
      <c r="G109" s="88" t="s">
        <v>721</v>
      </c>
    </row>
    <row r="110" spans="1:7" s="77" customFormat="1" ht="15" hidden="1" customHeight="1">
      <c r="A110" s="83">
        <v>45902</v>
      </c>
      <c r="B110" s="84" t="s">
        <v>614</v>
      </c>
      <c r="C110" s="77" t="s">
        <v>717</v>
      </c>
      <c r="D110" s="85" t="s">
        <v>758</v>
      </c>
      <c r="E110" s="96" t="s">
        <v>763</v>
      </c>
      <c r="F110" s="89" t="s">
        <v>728</v>
      </c>
      <c r="G110" s="88" t="s">
        <v>721</v>
      </c>
    </row>
    <row r="111" spans="1:7" s="77" customFormat="1" ht="15" hidden="1" customHeight="1">
      <c r="A111" s="83">
        <v>45902</v>
      </c>
      <c r="B111" s="84" t="s">
        <v>614</v>
      </c>
      <c r="C111" s="77" t="s">
        <v>717</v>
      </c>
      <c r="D111" s="85" t="s">
        <v>758</v>
      </c>
      <c r="E111" s="96" t="s">
        <v>764</v>
      </c>
      <c r="F111" s="89" t="s">
        <v>728</v>
      </c>
      <c r="G111" s="88" t="s">
        <v>721</v>
      </c>
    </row>
    <row r="112" spans="1:7" s="77" customFormat="1" ht="15" hidden="1" customHeight="1">
      <c r="A112" s="83">
        <v>45902</v>
      </c>
      <c r="B112" s="84" t="s">
        <v>614</v>
      </c>
      <c r="C112" s="77" t="s">
        <v>717</v>
      </c>
      <c r="D112" s="85" t="s">
        <v>718</v>
      </c>
      <c r="E112" s="86" t="s">
        <v>719</v>
      </c>
      <c r="F112" s="89" t="s">
        <v>728</v>
      </c>
      <c r="G112" s="88" t="s">
        <v>721</v>
      </c>
    </row>
    <row r="113" spans="1:11" s="77" customFormat="1" ht="15" hidden="1" customHeight="1">
      <c r="A113" s="83">
        <v>45902</v>
      </c>
      <c r="B113" s="84" t="s">
        <v>614</v>
      </c>
      <c r="C113" s="77" t="s">
        <v>717</v>
      </c>
      <c r="D113" s="85" t="s">
        <v>718</v>
      </c>
      <c r="E113" s="86" t="s">
        <v>766</v>
      </c>
      <c r="F113" s="89" t="s">
        <v>728</v>
      </c>
      <c r="G113" s="88" t="s">
        <v>721</v>
      </c>
    </row>
    <row r="114" spans="1:11" s="77" customFormat="1" ht="15" hidden="1" customHeight="1">
      <c r="A114" s="83">
        <v>45902</v>
      </c>
      <c r="B114" s="84" t="s">
        <v>614</v>
      </c>
      <c r="C114" s="77" t="s">
        <v>717</v>
      </c>
      <c r="D114" s="85" t="s">
        <v>718</v>
      </c>
      <c r="E114" s="86" t="s">
        <v>767</v>
      </c>
      <c r="F114" s="89" t="s">
        <v>728</v>
      </c>
      <c r="G114" s="88" t="s">
        <v>721</v>
      </c>
    </row>
    <row r="115" spans="1:11" s="77" customFormat="1" ht="15" hidden="1" customHeight="1">
      <c r="A115" s="83">
        <v>45902</v>
      </c>
      <c r="B115" s="84" t="s">
        <v>614</v>
      </c>
      <c r="C115" s="77" t="s">
        <v>717</v>
      </c>
      <c r="D115" s="85" t="s">
        <v>718</v>
      </c>
      <c r="E115" s="86" t="s">
        <v>768</v>
      </c>
      <c r="F115" s="89" t="s">
        <v>728</v>
      </c>
      <c r="G115" s="88" t="s">
        <v>721</v>
      </c>
    </row>
    <row r="116" spans="1:11" s="77" customFormat="1" ht="15" hidden="1" customHeight="1">
      <c r="A116" s="83">
        <v>45902</v>
      </c>
      <c r="B116" s="84" t="s">
        <v>614</v>
      </c>
      <c r="C116" s="77" t="s">
        <v>717</v>
      </c>
      <c r="D116" s="85" t="s">
        <v>718</v>
      </c>
      <c r="E116" s="86" t="s">
        <v>769</v>
      </c>
      <c r="F116" s="89" t="s">
        <v>728</v>
      </c>
      <c r="G116" s="88" t="s">
        <v>721</v>
      </c>
    </row>
    <row r="117" spans="1:11" s="77" customFormat="1" ht="15" hidden="1" customHeight="1">
      <c r="A117" s="83">
        <v>45902</v>
      </c>
      <c r="B117" s="84" t="s">
        <v>614</v>
      </c>
      <c r="C117" s="77" t="s">
        <v>717</v>
      </c>
      <c r="D117" s="85" t="s">
        <v>718</v>
      </c>
      <c r="E117" s="86" t="s">
        <v>771</v>
      </c>
      <c r="F117" s="89" t="s">
        <v>728</v>
      </c>
      <c r="G117" s="88" t="s">
        <v>721</v>
      </c>
    </row>
    <row r="118" spans="1:11" s="77" customFormat="1" ht="15" hidden="1" customHeight="1">
      <c r="A118" s="83">
        <v>45902</v>
      </c>
      <c r="B118" s="84" t="s">
        <v>614</v>
      </c>
      <c r="C118" s="77" t="s">
        <v>717</v>
      </c>
      <c r="D118" s="85" t="s">
        <v>718</v>
      </c>
      <c r="E118" s="86" t="s">
        <v>772</v>
      </c>
      <c r="F118" s="89" t="s">
        <v>728</v>
      </c>
      <c r="G118" s="88" t="s">
        <v>721</v>
      </c>
    </row>
    <row r="119" spans="1:11" s="77" customFormat="1" ht="15" hidden="1" customHeight="1">
      <c r="A119" s="83">
        <v>45902</v>
      </c>
      <c r="B119" s="84" t="s">
        <v>621</v>
      </c>
      <c r="C119" s="77" t="s">
        <v>717</v>
      </c>
      <c r="D119" s="86" t="s">
        <v>726</v>
      </c>
      <c r="E119" s="95" t="s">
        <v>727</v>
      </c>
      <c r="F119" s="89" t="s">
        <v>728</v>
      </c>
      <c r="G119" s="88" t="s">
        <v>721</v>
      </c>
    </row>
    <row r="120" spans="1:11" s="77" customFormat="1" ht="15" hidden="1" customHeight="1">
      <c r="A120" s="83">
        <v>45902</v>
      </c>
      <c r="B120" s="84" t="s">
        <v>621</v>
      </c>
      <c r="C120" s="77" t="s">
        <v>717</v>
      </c>
      <c r="D120" s="86" t="s">
        <v>726</v>
      </c>
      <c r="E120" s="96" t="s">
        <v>729</v>
      </c>
      <c r="F120" s="89" t="s">
        <v>728</v>
      </c>
      <c r="G120" s="88" t="s">
        <v>721</v>
      </c>
    </row>
    <row r="121" spans="1:11" s="77" customFormat="1" ht="15" hidden="1" customHeight="1">
      <c r="A121" s="83">
        <v>45902</v>
      </c>
      <c r="B121" s="84" t="s">
        <v>621</v>
      </c>
      <c r="C121" s="77" t="s">
        <v>717</v>
      </c>
      <c r="D121" s="86" t="s">
        <v>726</v>
      </c>
      <c r="E121" s="96" t="s">
        <v>730</v>
      </c>
      <c r="F121" s="89" t="s">
        <v>728</v>
      </c>
      <c r="G121" s="88" t="s">
        <v>721</v>
      </c>
    </row>
    <row r="122" spans="1:11" s="77" customFormat="1" ht="15" hidden="1" customHeight="1">
      <c r="A122" s="83">
        <v>45902</v>
      </c>
      <c r="B122" s="84" t="s">
        <v>621</v>
      </c>
      <c r="C122" s="77" t="s">
        <v>717</v>
      </c>
      <c r="D122" s="86" t="s">
        <v>726</v>
      </c>
      <c r="E122" s="96" t="s">
        <v>731</v>
      </c>
      <c r="F122" s="89" t="s">
        <v>728</v>
      </c>
      <c r="G122" s="88" t="s">
        <v>721</v>
      </c>
    </row>
    <row r="123" spans="1:11" s="77" customFormat="1" ht="15" hidden="1" customHeight="1">
      <c r="A123" s="83">
        <v>45902</v>
      </c>
      <c r="B123" s="84" t="s">
        <v>621</v>
      </c>
      <c r="C123" s="77" t="s">
        <v>717</v>
      </c>
      <c r="D123" s="86" t="s">
        <v>726</v>
      </c>
      <c r="E123" s="96" t="s">
        <v>732</v>
      </c>
      <c r="F123" s="89" t="s">
        <v>728</v>
      </c>
      <c r="G123" s="88" t="s">
        <v>721</v>
      </c>
    </row>
    <row r="124" spans="1:11" s="77" customFormat="1" ht="15" hidden="1" customHeight="1">
      <c r="A124" s="83">
        <v>45902</v>
      </c>
      <c r="B124" s="84" t="s">
        <v>621</v>
      </c>
      <c r="C124" s="77" t="s">
        <v>717</v>
      </c>
      <c r="D124" s="86" t="s">
        <v>726</v>
      </c>
      <c r="E124" s="96" t="s">
        <v>733</v>
      </c>
      <c r="F124" s="89" t="s">
        <v>728</v>
      </c>
      <c r="G124" s="88" t="s">
        <v>721</v>
      </c>
    </row>
    <row r="125" spans="1:11" s="77" customFormat="1" ht="15" hidden="1" customHeight="1">
      <c r="A125" s="83">
        <v>45902</v>
      </c>
      <c r="B125" s="84" t="s">
        <v>621</v>
      </c>
      <c r="C125" s="77" t="s">
        <v>717</v>
      </c>
      <c r="D125" s="86" t="s">
        <v>726</v>
      </c>
      <c r="E125" s="96" t="s">
        <v>734</v>
      </c>
      <c r="F125" s="89" t="s">
        <v>728</v>
      </c>
      <c r="G125" s="88" t="s">
        <v>721</v>
      </c>
    </row>
    <row r="126" spans="1:11" ht="15" customHeight="1">
      <c r="A126" s="90">
        <v>45902</v>
      </c>
      <c r="B126" s="91" t="s">
        <v>516</v>
      </c>
      <c r="C126" s="78" t="s">
        <v>717</v>
      </c>
      <c r="D126" s="91" t="s">
        <v>726</v>
      </c>
      <c r="E126" s="78" t="s">
        <v>735</v>
      </c>
      <c r="F126" s="80" t="s">
        <v>773</v>
      </c>
      <c r="G126" s="94">
        <v>1851041</v>
      </c>
      <c r="H126" s="78" t="s">
        <v>354</v>
      </c>
      <c r="I126" s="78" t="s">
        <v>774</v>
      </c>
      <c r="J126" s="78" t="s">
        <v>725</v>
      </c>
      <c r="K126" s="78" t="s">
        <v>354</v>
      </c>
    </row>
    <row r="127" spans="1:11" s="77" customFormat="1" ht="15" hidden="1" customHeight="1">
      <c r="A127" s="83">
        <v>45902</v>
      </c>
      <c r="B127" s="84" t="s">
        <v>621</v>
      </c>
      <c r="C127" s="77" t="s">
        <v>717</v>
      </c>
      <c r="D127" s="86" t="s">
        <v>736</v>
      </c>
      <c r="E127" s="96" t="s">
        <v>737</v>
      </c>
      <c r="F127" s="89" t="s">
        <v>728</v>
      </c>
      <c r="G127" s="88" t="s">
        <v>721</v>
      </c>
    </row>
    <row r="128" spans="1:11" s="77" customFormat="1" ht="15" hidden="1" customHeight="1">
      <c r="A128" s="83">
        <v>45902</v>
      </c>
      <c r="B128" s="84" t="s">
        <v>621</v>
      </c>
      <c r="C128" s="77" t="s">
        <v>717</v>
      </c>
      <c r="D128" s="86" t="s">
        <v>736</v>
      </c>
      <c r="E128" s="96" t="s">
        <v>738</v>
      </c>
      <c r="F128" s="89" t="s">
        <v>728</v>
      </c>
      <c r="G128" s="88" t="s">
        <v>721</v>
      </c>
    </row>
    <row r="129" spans="1:7" s="77" customFormat="1" ht="15" hidden="1" customHeight="1">
      <c r="A129" s="83">
        <v>45902</v>
      </c>
      <c r="B129" s="84" t="s">
        <v>621</v>
      </c>
      <c r="C129" s="77" t="s">
        <v>717</v>
      </c>
      <c r="D129" s="85" t="s">
        <v>739</v>
      </c>
      <c r="E129" s="96" t="s">
        <v>740</v>
      </c>
      <c r="F129" s="89" t="s">
        <v>728</v>
      </c>
      <c r="G129" s="88" t="s">
        <v>721</v>
      </c>
    </row>
    <row r="130" spans="1:7" s="77" customFormat="1" ht="15" hidden="1" customHeight="1">
      <c r="A130" s="83">
        <v>45902</v>
      </c>
      <c r="B130" s="84" t="s">
        <v>621</v>
      </c>
      <c r="C130" s="77" t="s">
        <v>717</v>
      </c>
      <c r="D130" s="85" t="s">
        <v>739</v>
      </c>
      <c r="E130" s="96" t="s">
        <v>741</v>
      </c>
      <c r="F130" s="89" t="s">
        <v>728</v>
      </c>
      <c r="G130" s="88" t="s">
        <v>721</v>
      </c>
    </row>
    <row r="131" spans="1:7" s="77" customFormat="1" ht="15" hidden="1" customHeight="1">
      <c r="A131" s="83">
        <v>45902</v>
      </c>
      <c r="B131" s="84" t="s">
        <v>621</v>
      </c>
      <c r="C131" s="77" t="s">
        <v>717</v>
      </c>
      <c r="D131" s="85" t="s">
        <v>739</v>
      </c>
      <c r="E131" s="96" t="s">
        <v>743</v>
      </c>
      <c r="F131" s="89" t="s">
        <v>742</v>
      </c>
      <c r="G131" s="88" t="s">
        <v>721</v>
      </c>
    </row>
    <row r="132" spans="1:7" s="77" customFormat="1" ht="15" hidden="1" customHeight="1">
      <c r="A132" s="83">
        <v>45902</v>
      </c>
      <c r="B132" s="84" t="s">
        <v>621</v>
      </c>
      <c r="C132" s="77" t="s">
        <v>717</v>
      </c>
      <c r="D132" s="85" t="s">
        <v>744</v>
      </c>
      <c r="E132" s="96" t="s">
        <v>745</v>
      </c>
      <c r="F132" s="89" t="s">
        <v>728</v>
      </c>
      <c r="G132" s="88" t="s">
        <v>721</v>
      </c>
    </row>
    <row r="133" spans="1:7" s="77" customFormat="1" ht="15" hidden="1" customHeight="1">
      <c r="A133" s="83">
        <v>45902</v>
      </c>
      <c r="B133" s="84" t="s">
        <v>621</v>
      </c>
      <c r="C133" s="77" t="s">
        <v>717</v>
      </c>
      <c r="D133" s="85" t="s">
        <v>744</v>
      </c>
      <c r="E133" s="96" t="s">
        <v>746</v>
      </c>
      <c r="F133" s="89" t="s">
        <v>728</v>
      </c>
      <c r="G133" s="88" t="s">
        <v>721</v>
      </c>
    </row>
    <row r="134" spans="1:7" s="77" customFormat="1" ht="15" hidden="1" customHeight="1">
      <c r="A134" s="83">
        <v>45902</v>
      </c>
      <c r="B134" s="84" t="s">
        <v>621</v>
      </c>
      <c r="C134" s="77" t="s">
        <v>717</v>
      </c>
      <c r="D134" s="85" t="s">
        <v>744</v>
      </c>
      <c r="E134" s="96" t="s">
        <v>747</v>
      </c>
      <c r="F134" s="89" t="s">
        <v>728</v>
      </c>
      <c r="G134" s="88" t="s">
        <v>721</v>
      </c>
    </row>
    <row r="135" spans="1:7" s="77" customFormat="1" ht="15" hidden="1" customHeight="1">
      <c r="A135" s="83">
        <v>45902</v>
      </c>
      <c r="B135" s="84" t="s">
        <v>621</v>
      </c>
      <c r="C135" s="77" t="s">
        <v>717</v>
      </c>
      <c r="D135" s="85" t="s">
        <v>744</v>
      </c>
      <c r="E135" s="96" t="s">
        <v>748</v>
      </c>
      <c r="F135" s="89" t="s">
        <v>721</v>
      </c>
      <c r="G135" s="88" t="s">
        <v>721</v>
      </c>
    </row>
    <row r="136" spans="1:7" s="77" customFormat="1" ht="15" hidden="1" customHeight="1">
      <c r="A136" s="83">
        <v>45902</v>
      </c>
      <c r="B136" s="84" t="s">
        <v>621</v>
      </c>
      <c r="C136" s="77" t="s">
        <v>717</v>
      </c>
      <c r="D136" s="85" t="s">
        <v>744</v>
      </c>
      <c r="E136" s="96" t="s">
        <v>749</v>
      </c>
      <c r="F136" s="89" t="s">
        <v>721</v>
      </c>
      <c r="G136" s="88" t="s">
        <v>721</v>
      </c>
    </row>
    <row r="137" spans="1:7" s="77" customFormat="1" ht="15" hidden="1" customHeight="1">
      <c r="A137" s="83">
        <v>45902</v>
      </c>
      <c r="B137" s="84" t="s">
        <v>621</v>
      </c>
      <c r="C137" s="77" t="s">
        <v>717</v>
      </c>
      <c r="D137" s="85" t="s">
        <v>750</v>
      </c>
      <c r="E137" s="96" t="s">
        <v>751</v>
      </c>
      <c r="F137" s="89" t="s">
        <v>728</v>
      </c>
      <c r="G137" s="88" t="s">
        <v>721</v>
      </c>
    </row>
    <row r="138" spans="1:7" s="77" customFormat="1" ht="15" hidden="1" customHeight="1">
      <c r="A138" s="83">
        <v>45902</v>
      </c>
      <c r="B138" s="84" t="s">
        <v>621</v>
      </c>
      <c r="C138" s="77" t="s">
        <v>717</v>
      </c>
      <c r="D138" s="85" t="s">
        <v>750</v>
      </c>
      <c r="E138" s="96" t="s">
        <v>752</v>
      </c>
      <c r="F138" s="89" t="s">
        <v>728</v>
      </c>
      <c r="G138" s="88" t="s">
        <v>721</v>
      </c>
    </row>
    <row r="139" spans="1:7" s="77" customFormat="1" ht="15" hidden="1" customHeight="1">
      <c r="A139" s="83">
        <v>45902</v>
      </c>
      <c r="B139" s="84" t="s">
        <v>621</v>
      </c>
      <c r="C139" s="77" t="s">
        <v>717</v>
      </c>
      <c r="D139" s="85" t="s">
        <v>750</v>
      </c>
      <c r="E139" s="96" t="s">
        <v>753</v>
      </c>
      <c r="F139" s="89" t="s">
        <v>728</v>
      </c>
      <c r="G139" s="88" t="s">
        <v>721</v>
      </c>
    </row>
    <row r="140" spans="1:7" s="77" customFormat="1" ht="15" hidden="1" customHeight="1">
      <c r="A140" s="83">
        <v>45902</v>
      </c>
      <c r="B140" s="84" t="s">
        <v>621</v>
      </c>
      <c r="C140" s="77" t="s">
        <v>717</v>
      </c>
      <c r="D140" s="85" t="s">
        <v>750</v>
      </c>
      <c r="E140" s="96" t="s">
        <v>754</v>
      </c>
      <c r="F140" s="89" t="s">
        <v>728</v>
      </c>
      <c r="G140" s="88" t="s">
        <v>721</v>
      </c>
    </row>
    <row r="141" spans="1:7" s="77" customFormat="1" ht="15" hidden="1" customHeight="1">
      <c r="A141" s="83">
        <v>45902</v>
      </c>
      <c r="B141" s="84" t="s">
        <v>621</v>
      </c>
      <c r="C141" s="77" t="s">
        <v>717</v>
      </c>
      <c r="D141" s="85" t="s">
        <v>755</v>
      </c>
      <c r="E141" s="86" t="s">
        <v>756</v>
      </c>
      <c r="F141" s="89" t="s">
        <v>728</v>
      </c>
      <c r="G141" s="88" t="s">
        <v>721</v>
      </c>
    </row>
    <row r="142" spans="1:7" s="77" customFormat="1" ht="15" hidden="1" customHeight="1">
      <c r="A142" s="83">
        <v>45902</v>
      </c>
      <c r="B142" s="84" t="s">
        <v>621</v>
      </c>
      <c r="C142" s="77" t="s">
        <v>717</v>
      </c>
      <c r="D142" s="85" t="s">
        <v>755</v>
      </c>
      <c r="E142" s="96" t="s">
        <v>757</v>
      </c>
      <c r="F142" s="89" t="s">
        <v>728</v>
      </c>
      <c r="G142" s="88" t="s">
        <v>721</v>
      </c>
    </row>
    <row r="143" spans="1:7" s="77" customFormat="1" ht="15" hidden="1" customHeight="1">
      <c r="A143" s="83">
        <v>45902</v>
      </c>
      <c r="B143" s="84" t="s">
        <v>621</v>
      </c>
      <c r="C143" s="77" t="s">
        <v>717</v>
      </c>
      <c r="D143" s="85" t="s">
        <v>758</v>
      </c>
      <c r="E143" s="96" t="s">
        <v>759</v>
      </c>
      <c r="F143" s="89" t="s">
        <v>728</v>
      </c>
      <c r="G143" s="88" t="s">
        <v>721</v>
      </c>
    </row>
    <row r="144" spans="1:7" s="77" customFormat="1" ht="15" hidden="1" customHeight="1">
      <c r="A144" s="83">
        <v>45902</v>
      </c>
      <c r="B144" s="84" t="s">
        <v>621</v>
      </c>
      <c r="C144" s="77" t="s">
        <v>717</v>
      </c>
      <c r="D144" s="85" t="s">
        <v>758</v>
      </c>
      <c r="E144" s="96" t="s">
        <v>760</v>
      </c>
      <c r="F144" s="89" t="s">
        <v>728</v>
      </c>
      <c r="G144" s="88" t="s">
        <v>721</v>
      </c>
    </row>
    <row r="145" spans="1:11" s="77" customFormat="1" ht="15" hidden="1" customHeight="1">
      <c r="A145" s="83">
        <v>45902</v>
      </c>
      <c r="B145" s="84" t="s">
        <v>621</v>
      </c>
      <c r="C145" s="77" t="s">
        <v>717</v>
      </c>
      <c r="D145" s="85" t="s">
        <v>758</v>
      </c>
      <c r="E145" s="96" t="s">
        <v>761</v>
      </c>
      <c r="F145" s="89" t="s">
        <v>728</v>
      </c>
      <c r="G145" s="88" t="s">
        <v>721</v>
      </c>
    </row>
    <row r="146" spans="1:11" s="77" customFormat="1" ht="15" hidden="1" customHeight="1">
      <c r="A146" s="83">
        <v>45902</v>
      </c>
      <c r="B146" s="84" t="s">
        <v>621</v>
      </c>
      <c r="C146" s="77" t="s">
        <v>717</v>
      </c>
      <c r="D146" s="85" t="s">
        <v>758</v>
      </c>
      <c r="E146" s="96" t="s">
        <v>762</v>
      </c>
      <c r="F146" s="89" t="s">
        <v>728</v>
      </c>
      <c r="G146" s="88" t="s">
        <v>721</v>
      </c>
    </row>
    <row r="147" spans="1:11" s="77" customFormat="1" ht="15" hidden="1" customHeight="1">
      <c r="A147" s="83">
        <v>45902</v>
      </c>
      <c r="B147" s="84" t="s">
        <v>621</v>
      </c>
      <c r="C147" s="77" t="s">
        <v>717</v>
      </c>
      <c r="D147" s="85" t="s">
        <v>758</v>
      </c>
      <c r="E147" s="96" t="s">
        <v>763</v>
      </c>
      <c r="F147" s="89" t="s">
        <v>728</v>
      </c>
      <c r="G147" s="88" t="s">
        <v>721</v>
      </c>
    </row>
    <row r="148" spans="1:11" s="77" customFormat="1" ht="15" hidden="1" customHeight="1">
      <c r="A148" s="83">
        <v>45902</v>
      </c>
      <c r="B148" s="84" t="s">
        <v>621</v>
      </c>
      <c r="C148" s="77" t="s">
        <v>717</v>
      </c>
      <c r="D148" s="85" t="s">
        <v>758</v>
      </c>
      <c r="E148" s="96" t="s">
        <v>764</v>
      </c>
      <c r="F148" s="89" t="s">
        <v>728</v>
      </c>
      <c r="G148" s="88" t="s">
        <v>721</v>
      </c>
    </row>
    <row r="149" spans="1:11" s="77" customFormat="1" ht="15" hidden="1" customHeight="1">
      <c r="A149" s="83">
        <v>45902</v>
      </c>
      <c r="B149" s="84" t="s">
        <v>621</v>
      </c>
      <c r="C149" s="77" t="s">
        <v>717</v>
      </c>
      <c r="D149" s="85" t="s">
        <v>718</v>
      </c>
      <c r="E149" s="86" t="s">
        <v>719</v>
      </c>
      <c r="F149" s="89" t="s">
        <v>728</v>
      </c>
      <c r="G149" s="88" t="s">
        <v>721</v>
      </c>
    </row>
    <row r="150" spans="1:11" ht="15" customHeight="1">
      <c r="A150" s="90">
        <v>45902</v>
      </c>
      <c r="B150" s="91" t="s">
        <v>516</v>
      </c>
      <c r="C150" s="78" t="s">
        <v>717</v>
      </c>
      <c r="D150" s="92" t="s">
        <v>718</v>
      </c>
      <c r="E150" s="91" t="s">
        <v>765</v>
      </c>
      <c r="F150" s="93" t="s">
        <v>775</v>
      </c>
      <c r="G150" s="94">
        <v>1851045</v>
      </c>
      <c r="H150" s="78" t="s">
        <v>354</v>
      </c>
      <c r="I150" s="78" t="s">
        <v>774</v>
      </c>
      <c r="J150" s="78" t="s">
        <v>776</v>
      </c>
      <c r="K150" s="78" t="s">
        <v>354</v>
      </c>
    </row>
    <row r="151" spans="1:11" s="77" customFormat="1" ht="15" hidden="1" customHeight="1">
      <c r="A151" s="83">
        <v>45902</v>
      </c>
      <c r="B151" s="84" t="s">
        <v>621</v>
      </c>
      <c r="C151" s="77" t="s">
        <v>717</v>
      </c>
      <c r="D151" s="85" t="s">
        <v>718</v>
      </c>
      <c r="E151" s="86" t="s">
        <v>766</v>
      </c>
      <c r="F151" s="89" t="s">
        <v>728</v>
      </c>
      <c r="G151" s="88" t="s">
        <v>721</v>
      </c>
    </row>
    <row r="152" spans="1:11" s="77" customFormat="1" ht="15" hidden="1" customHeight="1">
      <c r="A152" s="83">
        <v>45902</v>
      </c>
      <c r="B152" s="84" t="s">
        <v>621</v>
      </c>
      <c r="C152" s="77" t="s">
        <v>717</v>
      </c>
      <c r="D152" s="85" t="s">
        <v>718</v>
      </c>
      <c r="E152" s="86" t="s">
        <v>767</v>
      </c>
      <c r="F152" s="89" t="s">
        <v>728</v>
      </c>
      <c r="G152" s="88" t="s">
        <v>721</v>
      </c>
    </row>
    <row r="153" spans="1:11" s="77" customFormat="1" ht="15" hidden="1" customHeight="1">
      <c r="A153" s="83">
        <v>45902</v>
      </c>
      <c r="B153" s="84" t="s">
        <v>621</v>
      </c>
      <c r="C153" s="77" t="s">
        <v>717</v>
      </c>
      <c r="D153" s="85" t="s">
        <v>718</v>
      </c>
      <c r="E153" s="86" t="s">
        <v>768</v>
      </c>
      <c r="F153" s="89" t="s">
        <v>728</v>
      </c>
      <c r="G153" s="88" t="s">
        <v>721</v>
      </c>
    </row>
    <row r="154" spans="1:11" s="77" customFormat="1" ht="15" hidden="1" customHeight="1">
      <c r="A154" s="83">
        <v>45902</v>
      </c>
      <c r="B154" s="84" t="s">
        <v>621</v>
      </c>
      <c r="C154" s="77" t="s">
        <v>717</v>
      </c>
      <c r="D154" s="85" t="s">
        <v>718</v>
      </c>
      <c r="E154" s="86" t="s">
        <v>769</v>
      </c>
      <c r="F154" s="89" t="s">
        <v>728</v>
      </c>
      <c r="G154" s="88" t="s">
        <v>721</v>
      </c>
    </row>
    <row r="155" spans="1:11" s="77" customFormat="1" ht="15" hidden="1" customHeight="1">
      <c r="A155" s="83">
        <v>45902</v>
      </c>
      <c r="B155" s="84" t="s">
        <v>621</v>
      </c>
      <c r="C155" s="77" t="s">
        <v>717</v>
      </c>
      <c r="D155" s="85" t="s">
        <v>718</v>
      </c>
      <c r="E155" s="86" t="s">
        <v>770</v>
      </c>
      <c r="F155" s="89" t="s">
        <v>728</v>
      </c>
      <c r="G155" s="88" t="s">
        <v>721</v>
      </c>
    </row>
    <row r="156" spans="1:11" s="77" customFormat="1" ht="15" hidden="1" customHeight="1">
      <c r="A156" s="83">
        <v>45902</v>
      </c>
      <c r="B156" s="84" t="s">
        <v>621</v>
      </c>
      <c r="C156" s="77" t="s">
        <v>717</v>
      </c>
      <c r="D156" s="85" t="s">
        <v>718</v>
      </c>
      <c r="E156" s="86" t="s">
        <v>771</v>
      </c>
      <c r="F156" s="89" t="s">
        <v>728</v>
      </c>
      <c r="G156" s="88" t="s">
        <v>721</v>
      </c>
    </row>
    <row r="157" spans="1:11" s="77" customFormat="1" ht="15" hidden="1" customHeight="1">
      <c r="A157" s="83">
        <v>45902</v>
      </c>
      <c r="B157" s="84" t="s">
        <v>621</v>
      </c>
      <c r="C157" s="77" t="s">
        <v>717</v>
      </c>
      <c r="D157" s="85" t="s">
        <v>718</v>
      </c>
      <c r="E157" s="86" t="s">
        <v>772</v>
      </c>
      <c r="F157" s="89" t="s">
        <v>728</v>
      </c>
      <c r="G157" s="88" t="s">
        <v>721</v>
      </c>
    </row>
    <row r="158" spans="1:11" s="77" customFormat="1" ht="15" hidden="1" customHeight="1">
      <c r="A158" s="83">
        <v>45902</v>
      </c>
      <c r="B158" s="84" t="s">
        <v>616</v>
      </c>
      <c r="C158" s="77" t="s">
        <v>717</v>
      </c>
      <c r="D158" s="86" t="s">
        <v>726</v>
      </c>
      <c r="E158" s="95" t="s">
        <v>727</v>
      </c>
      <c r="F158" s="89" t="s">
        <v>728</v>
      </c>
      <c r="G158" s="88" t="s">
        <v>721</v>
      </c>
    </row>
    <row r="159" spans="1:11" s="77" customFormat="1" ht="15" hidden="1" customHeight="1">
      <c r="A159" s="83">
        <v>45902</v>
      </c>
      <c r="B159" s="84" t="s">
        <v>616</v>
      </c>
      <c r="C159" s="77" t="s">
        <v>717</v>
      </c>
      <c r="D159" s="86" t="s">
        <v>726</v>
      </c>
      <c r="E159" s="96" t="s">
        <v>729</v>
      </c>
      <c r="F159" s="89" t="s">
        <v>728</v>
      </c>
      <c r="G159" s="88" t="s">
        <v>721</v>
      </c>
    </row>
    <row r="160" spans="1:11" s="77" customFormat="1" ht="15" hidden="1" customHeight="1">
      <c r="A160" s="83">
        <v>45902</v>
      </c>
      <c r="B160" s="84" t="s">
        <v>616</v>
      </c>
      <c r="C160" s="77" t="s">
        <v>717</v>
      </c>
      <c r="D160" s="86" t="s">
        <v>726</v>
      </c>
      <c r="E160" s="96" t="s">
        <v>730</v>
      </c>
      <c r="F160" s="89" t="s">
        <v>728</v>
      </c>
      <c r="G160" s="88" t="s">
        <v>721</v>
      </c>
    </row>
    <row r="161" spans="1:7" s="77" customFormat="1" ht="15" hidden="1" customHeight="1">
      <c r="A161" s="83">
        <v>45902</v>
      </c>
      <c r="B161" s="84" t="s">
        <v>614</v>
      </c>
      <c r="C161" s="77" t="s">
        <v>717</v>
      </c>
      <c r="D161" s="85" t="s">
        <v>718</v>
      </c>
      <c r="E161" s="86" t="s">
        <v>765</v>
      </c>
      <c r="F161" s="87" t="s">
        <v>777</v>
      </c>
      <c r="G161" s="88" t="s">
        <v>721</v>
      </c>
    </row>
    <row r="162" spans="1:7" s="77" customFormat="1" ht="15" hidden="1" customHeight="1">
      <c r="A162" s="83">
        <v>45902</v>
      </c>
      <c r="B162" s="84" t="s">
        <v>616</v>
      </c>
      <c r="C162" s="77" t="s">
        <v>717</v>
      </c>
      <c r="D162" s="86" t="s">
        <v>726</v>
      </c>
      <c r="E162" s="96" t="s">
        <v>732</v>
      </c>
      <c r="F162" s="89" t="s">
        <v>728</v>
      </c>
      <c r="G162" s="88" t="s">
        <v>721</v>
      </c>
    </row>
    <row r="163" spans="1:7" s="77" customFormat="1" ht="15" hidden="1" customHeight="1">
      <c r="A163" s="83">
        <v>45902</v>
      </c>
      <c r="B163" s="84" t="s">
        <v>616</v>
      </c>
      <c r="C163" s="77" t="s">
        <v>717</v>
      </c>
      <c r="D163" s="86" t="s">
        <v>726</v>
      </c>
      <c r="E163" s="96" t="s">
        <v>733</v>
      </c>
      <c r="F163" s="89" t="s">
        <v>728</v>
      </c>
      <c r="G163" s="88" t="s">
        <v>721</v>
      </c>
    </row>
    <row r="164" spans="1:7" s="77" customFormat="1" ht="15" hidden="1" customHeight="1">
      <c r="A164" s="83">
        <v>45902</v>
      </c>
      <c r="B164" s="84" t="s">
        <v>616</v>
      </c>
      <c r="C164" s="77" t="s">
        <v>717</v>
      </c>
      <c r="D164" s="86" t="s">
        <v>726</v>
      </c>
      <c r="E164" s="96" t="s">
        <v>734</v>
      </c>
      <c r="F164" s="89" t="s">
        <v>728</v>
      </c>
      <c r="G164" s="88" t="s">
        <v>721</v>
      </c>
    </row>
    <row r="165" spans="1:7" s="77" customFormat="1" ht="15" hidden="1" customHeight="1">
      <c r="A165" s="83">
        <v>45902</v>
      </c>
      <c r="B165" s="84" t="s">
        <v>616</v>
      </c>
      <c r="C165" s="77" t="s">
        <v>717</v>
      </c>
      <c r="D165" s="86" t="s">
        <v>726</v>
      </c>
      <c r="E165" s="96" t="s">
        <v>735</v>
      </c>
      <c r="F165" s="89" t="s">
        <v>728</v>
      </c>
      <c r="G165" s="88" t="s">
        <v>721</v>
      </c>
    </row>
    <row r="166" spans="1:7" s="77" customFormat="1" ht="15" hidden="1" customHeight="1">
      <c r="A166" s="83">
        <v>45902</v>
      </c>
      <c r="B166" s="84" t="s">
        <v>616</v>
      </c>
      <c r="C166" s="77" t="s">
        <v>717</v>
      </c>
      <c r="D166" s="86" t="s">
        <v>736</v>
      </c>
      <c r="E166" s="96" t="s">
        <v>737</v>
      </c>
      <c r="F166" s="89" t="s">
        <v>728</v>
      </c>
      <c r="G166" s="88" t="s">
        <v>721</v>
      </c>
    </row>
    <row r="167" spans="1:7" s="77" customFormat="1" ht="15" hidden="1" customHeight="1">
      <c r="A167" s="83">
        <v>45902</v>
      </c>
      <c r="B167" s="84" t="s">
        <v>616</v>
      </c>
      <c r="C167" s="77" t="s">
        <v>717</v>
      </c>
      <c r="D167" s="86" t="s">
        <v>736</v>
      </c>
      <c r="E167" s="96" t="s">
        <v>738</v>
      </c>
      <c r="F167" s="89" t="s">
        <v>728</v>
      </c>
      <c r="G167" s="88" t="s">
        <v>721</v>
      </c>
    </row>
    <row r="168" spans="1:7" s="77" customFormat="1" ht="15" hidden="1" customHeight="1">
      <c r="A168" s="83">
        <v>45902</v>
      </c>
      <c r="B168" s="84" t="s">
        <v>616</v>
      </c>
      <c r="C168" s="77" t="s">
        <v>717</v>
      </c>
      <c r="D168" s="85" t="s">
        <v>739</v>
      </c>
      <c r="E168" s="96" t="s">
        <v>740</v>
      </c>
      <c r="F168" s="89" t="s">
        <v>728</v>
      </c>
      <c r="G168" s="88" t="s">
        <v>721</v>
      </c>
    </row>
    <row r="169" spans="1:7" s="77" customFormat="1" ht="15" hidden="1" customHeight="1">
      <c r="A169" s="83">
        <v>45902</v>
      </c>
      <c r="B169" s="84" t="s">
        <v>616</v>
      </c>
      <c r="C169" s="77" t="s">
        <v>717</v>
      </c>
      <c r="D169" s="85" t="s">
        <v>739</v>
      </c>
      <c r="E169" s="96" t="s">
        <v>741</v>
      </c>
      <c r="F169" s="89" t="s">
        <v>742</v>
      </c>
      <c r="G169" s="88" t="s">
        <v>721</v>
      </c>
    </row>
    <row r="170" spans="1:7" s="77" customFormat="1" ht="15" hidden="1" customHeight="1">
      <c r="A170" s="83">
        <v>45902</v>
      </c>
      <c r="B170" s="84" t="s">
        <v>616</v>
      </c>
      <c r="C170" s="77" t="s">
        <v>717</v>
      </c>
      <c r="D170" s="85" t="s">
        <v>739</v>
      </c>
      <c r="E170" s="96" t="s">
        <v>743</v>
      </c>
      <c r="F170" s="89" t="s">
        <v>728</v>
      </c>
      <c r="G170" s="88" t="s">
        <v>721</v>
      </c>
    </row>
    <row r="171" spans="1:7" s="77" customFormat="1" ht="15" hidden="1" customHeight="1">
      <c r="A171" s="83">
        <v>45902</v>
      </c>
      <c r="B171" s="84" t="s">
        <v>616</v>
      </c>
      <c r="C171" s="77" t="s">
        <v>717</v>
      </c>
      <c r="D171" s="85" t="s">
        <v>744</v>
      </c>
      <c r="E171" s="96" t="s">
        <v>745</v>
      </c>
      <c r="F171" s="89" t="s">
        <v>728</v>
      </c>
      <c r="G171" s="88" t="s">
        <v>721</v>
      </c>
    </row>
    <row r="172" spans="1:7" s="77" customFormat="1" ht="15" hidden="1" customHeight="1">
      <c r="A172" s="83">
        <v>45902</v>
      </c>
      <c r="B172" s="84" t="s">
        <v>616</v>
      </c>
      <c r="C172" s="77" t="s">
        <v>717</v>
      </c>
      <c r="D172" s="85" t="s">
        <v>744</v>
      </c>
      <c r="E172" s="96" t="s">
        <v>746</v>
      </c>
      <c r="F172" s="89" t="s">
        <v>728</v>
      </c>
      <c r="G172" s="88" t="s">
        <v>721</v>
      </c>
    </row>
    <row r="173" spans="1:7" s="77" customFormat="1" ht="15" hidden="1" customHeight="1">
      <c r="A173" s="83">
        <v>45902</v>
      </c>
      <c r="B173" s="84" t="s">
        <v>616</v>
      </c>
      <c r="C173" s="77" t="s">
        <v>717</v>
      </c>
      <c r="D173" s="85" t="s">
        <v>744</v>
      </c>
      <c r="E173" s="96" t="s">
        <v>747</v>
      </c>
      <c r="F173" s="89" t="s">
        <v>721</v>
      </c>
      <c r="G173" s="88" t="s">
        <v>721</v>
      </c>
    </row>
    <row r="174" spans="1:7" s="77" customFormat="1" ht="15" hidden="1" customHeight="1">
      <c r="A174" s="83">
        <v>45902</v>
      </c>
      <c r="B174" s="84" t="s">
        <v>616</v>
      </c>
      <c r="C174" s="77" t="s">
        <v>717</v>
      </c>
      <c r="D174" s="85" t="s">
        <v>744</v>
      </c>
      <c r="E174" s="96" t="s">
        <v>748</v>
      </c>
      <c r="F174" s="89" t="s">
        <v>721</v>
      </c>
      <c r="G174" s="88" t="s">
        <v>721</v>
      </c>
    </row>
    <row r="175" spans="1:7" s="77" customFormat="1" ht="15" hidden="1" customHeight="1">
      <c r="A175" s="83">
        <v>45902</v>
      </c>
      <c r="B175" s="84" t="s">
        <v>616</v>
      </c>
      <c r="C175" s="77" t="s">
        <v>717</v>
      </c>
      <c r="D175" s="85" t="s">
        <v>744</v>
      </c>
      <c r="E175" s="96" t="s">
        <v>749</v>
      </c>
      <c r="F175" s="89" t="s">
        <v>728</v>
      </c>
      <c r="G175" s="88" t="s">
        <v>721</v>
      </c>
    </row>
    <row r="176" spans="1:7" s="77" customFormat="1" ht="15" hidden="1" customHeight="1">
      <c r="A176" s="83">
        <v>45902</v>
      </c>
      <c r="B176" s="84" t="s">
        <v>616</v>
      </c>
      <c r="C176" s="77" t="s">
        <v>717</v>
      </c>
      <c r="D176" s="85" t="s">
        <v>750</v>
      </c>
      <c r="E176" s="96" t="s">
        <v>751</v>
      </c>
      <c r="F176" s="89" t="s">
        <v>728</v>
      </c>
      <c r="G176" s="88" t="s">
        <v>721</v>
      </c>
    </row>
    <row r="177" spans="1:11" s="77" customFormat="1" ht="15" hidden="1" customHeight="1">
      <c r="A177" s="83">
        <v>45902</v>
      </c>
      <c r="B177" s="84" t="s">
        <v>616</v>
      </c>
      <c r="C177" s="77" t="s">
        <v>717</v>
      </c>
      <c r="D177" s="85" t="s">
        <v>750</v>
      </c>
      <c r="E177" s="96" t="s">
        <v>752</v>
      </c>
      <c r="F177" s="89" t="s">
        <v>728</v>
      </c>
      <c r="G177" s="88" t="s">
        <v>721</v>
      </c>
    </row>
    <row r="178" spans="1:11" s="77" customFormat="1" ht="15" hidden="1" customHeight="1">
      <c r="A178" s="83">
        <v>45902</v>
      </c>
      <c r="B178" s="84" t="s">
        <v>616</v>
      </c>
      <c r="C178" s="77" t="s">
        <v>717</v>
      </c>
      <c r="D178" s="85" t="s">
        <v>750</v>
      </c>
      <c r="E178" s="96" t="s">
        <v>753</v>
      </c>
      <c r="F178" s="89" t="s">
        <v>728</v>
      </c>
      <c r="G178" s="88" t="s">
        <v>721</v>
      </c>
    </row>
    <row r="179" spans="1:11" s="77" customFormat="1" ht="15" hidden="1" customHeight="1">
      <c r="A179" s="83">
        <v>45902</v>
      </c>
      <c r="B179" s="84" t="s">
        <v>616</v>
      </c>
      <c r="C179" s="77" t="s">
        <v>717</v>
      </c>
      <c r="D179" s="85" t="s">
        <v>750</v>
      </c>
      <c r="E179" s="96" t="s">
        <v>754</v>
      </c>
      <c r="F179" s="89" t="s">
        <v>728</v>
      </c>
      <c r="G179" s="88" t="s">
        <v>721</v>
      </c>
    </row>
    <row r="180" spans="1:11" s="77" customFormat="1" ht="15" hidden="1" customHeight="1">
      <c r="A180" s="83">
        <v>45902</v>
      </c>
      <c r="B180" s="84" t="s">
        <v>616</v>
      </c>
      <c r="C180" s="77" t="s">
        <v>717</v>
      </c>
      <c r="D180" s="85" t="s">
        <v>755</v>
      </c>
      <c r="E180" s="86" t="s">
        <v>756</v>
      </c>
      <c r="F180" s="89" t="s">
        <v>728</v>
      </c>
      <c r="G180" s="88" t="s">
        <v>721</v>
      </c>
    </row>
    <row r="181" spans="1:11" s="77" customFormat="1" ht="15" hidden="1" customHeight="1">
      <c r="A181" s="83">
        <v>45902</v>
      </c>
      <c r="B181" s="84" t="s">
        <v>616</v>
      </c>
      <c r="C181" s="77" t="s">
        <v>717</v>
      </c>
      <c r="D181" s="85" t="s">
        <v>755</v>
      </c>
      <c r="E181" s="96" t="s">
        <v>757</v>
      </c>
      <c r="F181" s="89" t="s">
        <v>728</v>
      </c>
      <c r="G181" s="88" t="s">
        <v>721</v>
      </c>
    </row>
    <row r="182" spans="1:11" s="77" customFormat="1" ht="15" hidden="1" customHeight="1">
      <c r="A182" s="83">
        <v>45902</v>
      </c>
      <c r="B182" s="84" t="s">
        <v>616</v>
      </c>
      <c r="C182" s="77" t="s">
        <v>717</v>
      </c>
      <c r="D182" s="85" t="s">
        <v>758</v>
      </c>
      <c r="E182" s="96" t="s">
        <v>759</v>
      </c>
      <c r="F182" s="89" t="s">
        <v>728</v>
      </c>
      <c r="G182" s="88" t="s">
        <v>721</v>
      </c>
    </row>
    <row r="183" spans="1:11" s="77" customFormat="1" ht="15" hidden="1" customHeight="1">
      <c r="A183" s="83">
        <v>45902</v>
      </c>
      <c r="B183" s="84" t="s">
        <v>616</v>
      </c>
      <c r="C183" s="77" t="s">
        <v>717</v>
      </c>
      <c r="D183" s="85" t="s">
        <v>758</v>
      </c>
      <c r="E183" s="96" t="s">
        <v>760</v>
      </c>
      <c r="F183" s="89" t="s">
        <v>728</v>
      </c>
      <c r="G183" s="88" t="s">
        <v>721</v>
      </c>
    </row>
    <row r="184" spans="1:11" s="77" customFormat="1" ht="15" hidden="1" customHeight="1">
      <c r="A184" s="83">
        <v>45902</v>
      </c>
      <c r="B184" s="84" t="s">
        <v>616</v>
      </c>
      <c r="C184" s="77" t="s">
        <v>717</v>
      </c>
      <c r="D184" s="85" t="s">
        <v>758</v>
      </c>
      <c r="E184" s="96" t="s">
        <v>761</v>
      </c>
      <c r="F184" s="89" t="s">
        <v>728</v>
      </c>
      <c r="G184" s="88" t="s">
        <v>721</v>
      </c>
    </row>
    <row r="185" spans="1:11" s="77" customFormat="1" ht="15" hidden="1" customHeight="1">
      <c r="A185" s="83">
        <v>45902</v>
      </c>
      <c r="B185" s="84" t="s">
        <v>616</v>
      </c>
      <c r="C185" s="77" t="s">
        <v>717</v>
      </c>
      <c r="D185" s="85" t="s">
        <v>758</v>
      </c>
      <c r="E185" s="96" t="s">
        <v>762</v>
      </c>
      <c r="F185" s="89" t="s">
        <v>728</v>
      </c>
      <c r="G185" s="88" t="s">
        <v>721</v>
      </c>
    </row>
    <row r="186" spans="1:11" s="77" customFormat="1" ht="15" hidden="1" customHeight="1">
      <c r="A186" s="83">
        <v>45902</v>
      </c>
      <c r="B186" s="84" t="s">
        <v>616</v>
      </c>
      <c r="C186" s="77" t="s">
        <v>717</v>
      </c>
      <c r="D186" s="85" t="s">
        <v>758</v>
      </c>
      <c r="E186" s="96" t="s">
        <v>763</v>
      </c>
      <c r="F186" s="89" t="s">
        <v>728</v>
      </c>
      <c r="G186" s="88" t="s">
        <v>721</v>
      </c>
    </row>
    <row r="187" spans="1:11" s="77" customFormat="1" ht="15" hidden="1" customHeight="1">
      <c r="A187" s="83">
        <v>45902</v>
      </c>
      <c r="B187" s="84" t="s">
        <v>616</v>
      </c>
      <c r="C187" s="77" t="s">
        <v>717</v>
      </c>
      <c r="D187" s="85" t="s">
        <v>758</v>
      </c>
      <c r="E187" s="96" t="s">
        <v>764</v>
      </c>
      <c r="F187" s="89" t="s">
        <v>728</v>
      </c>
      <c r="G187" s="88" t="s">
        <v>721</v>
      </c>
    </row>
    <row r="188" spans="1:11" ht="15" customHeight="1">
      <c r="A188" s="90">
        <v>45902</v>
      </c>
      <c r="B188" s="91" t="s">
        <v>614</v>
      </c>
      <c r="C188" s="78" t="s">
        <v>717</v>
      </c>
      <c r="D188" s="92" t="s">
        <v>718</v>
      </c>
      <c r="E188" s="91" t="s">
        <v>770</v>
      </c>
      <c r="F188" s="80" t="s">
        <v>778</v>
      </c>
      <c r="G188" s="94">
        <v>1847112</v>
      </c>
      <c r="H188" s="78" t="s">
        <v>354</v>
      </c>
      <c r="I188" s="78" t="s">
        <v>774</v>
      </c>
      <c r="J188" s="78" t="s">
        <v>779</v>
      </c>
      <c r="K188" s="78" t="s">
        <v>354</v>
      </c>
    </row>
    <row r="189" spans="1:11" s="77" customFormat="1" ht="15" hidden="1" customHeight="1">
      <c r="A189" s="83">
        <v>45902</v>
      </c>
      <c r="B189" s="84" t="s">
        <v>616</v>
      </c>
      <c r="C189" s="77" t="s">
        <v>717</v>
      </c>
      <c r="D189" s="85" t="s">
        <v>718</v>
      </c>
      <c r="E189" s="86" t="s">
        <v>765</v>
      </c>
      <c r="F189" s="89" t="s">
        <v>728</v>
      </c>
      <c r="G189" s="88" t="s">
        <v>721</v>
      </c>
    </row>
    <row r="190" spans="1:11" s="77" customFormat="1" ht="15" hidden="1" customHeight="1">
      <c r="A190" s="83">
        <v>45902</v>
      </c>
      <c r="B190" s="84" t="s">
        <v>616</v>
      </c>
      <c r="C190" s="77" t="s">
        <v>717</v>
      </c>
      <c r="D190" s="85" t="s">
        <v>718</v>
      </c>
      <c r="E190" s="86" t="s">
        <v>766</v>
      </c>
      <c r="F190" s="89" t="s">
        <v>728</v>
      </c>
      <c r="G190" s="88" t="s">
        <v>721</v>
      </c>
    </row>
    <row r="191" spans="1:11" s="77" customFormat="1" ht="15" hidden="1" customHeight="1">
      <c r="A191" s="83">
        <v>45902</v>
      </c>
      <c r="B191" s="84" t="s">
        <v>616</v>
      </c>
      <c r="C191" s="77" t="s">
        <v>717</v>
      </c>
      <c r="D191" s="85" t="s">
        <v>718</v>
      </c>
      <c r="E191" s="86" t="s">
        <v>767</v>
      </c>
      <c r="F191" s="89" t="s">
        <v>728</v>
      </c>
      <c r="G191" s="88" t="s">
        <v>721</v>
      </c>
    </row>
    <row r="192" spans="1:11" s="77" customFormat="1" ht="15" hidden="1" customHeight="1">
      <c r="A192" s="83">
        <v>45902</v>
      </c>
      <c r="B192" s="84" t="s">
        <v>616</v>
      </c>
      <c r="C192" s="77" t="s">
        <v>717</v>
      </c>
      <c r="D192" s="85" t="s">
        <v>718</v>
      </c>
      <c r="E192" s="86" t="s">
        <v>768</v>
      </c>
      <c r="F192" s="89" t="s">
        <v>728</v>
      </c>
      <c r="G192" s="88" t="s">
        <v>721</v>
      </c>
    </row>
    <row r="193" spans="1:7" s="77" customFormat="1" ht="15" hidden="1" customHeight="1">
      <c r="A193" s="83">
        <v>45902</v>
      </c>
      <c r="B193" s="84" t="s">
        <v>616</v>
      </c>
      <c r="C193" s="77" t="s">
        <v>717</v>
      </c>
      <c r="D193" s="85" t="s">
        <v>718</v>
      </c>
      <c r="E193" s="86" t="s">
        <v>769</v>
      </c>
      <c r="F193" s="89" t="s">
        <v>728</v>
      </c>
      <c r="G193" s="88" t="s">
        <v>721</v>
      </c>
    </row>
    <row r="194" spans="1:7" s="77" customFormat="1" ht="15" hidden="1" customHeight="1">
      <c r="A194" s="83">
        <v>45902</v>
      </c>
      <c r="B194" s="84" t="s">
        <v>616</v>
      </c>
      <c r="C194" s="77" t="s">
        <v>717</v>
      </c>
      <c r="D194" s="85" t="s">
        <v>718</v>
      </c>
      <c r="E194" s="86" t="s">
        <v>770</v>
      </c>
      <c r="F194" s="89" t="s">
        <v>728</v>
      </c>
      <c r="G194" s="88" t="s">
        <v>721</v>
      </c>
    </row>
    <row r="195" spans="1:7" s="77" customFormat="1" ht="15" hidden="1" customHeight="1">
      <c r="A195" s="83">
        <v>45902</v>
      </c>
      <c r="B195" s="84" t="s">
        <v>616</v>
      </c>
      <c r="C195" s="77" t="s">
        <v>717</v>
      </c>
      <c r="D195" s="85" t="s">
        <v>718</v>
      </c>
      <c r="E195" s="86" t="s">
        <v>771</v>
      </c>
      <c r="F195" s="89" t="s">
        <v>728</v>
      </c>
      <c r="G195" s="88" t="s">
        <v>721</v>
      </c>
    </row>
    <row r="196" spans="1:7" s="77" customFormat="1" ht="15" hidden="1" customHeight="1">
      <c r="A196" s="83">
        <v>45902</v>
      </c>
      <c r="B196" s="84" t="s">
        <v>616</v>
      </c>
      <c r="C196" s="77" t="s">
        <v>717</v>
      </c>
      <c r="D196" s="85" t="s">
        <v>718</v>
      </c>
      <c r="E196" s="86" t="s">
        <v>772</v>
      </c>
      <c r="F196" s="89" t="s">
        <v>728</v>
      </c>
      <c r="G196" s="88" t="s">
        <v>721</v>
      </c>
    </row>
    <row r="197" spans="1:7" s="77" customFormat="1" ht="15" hidden="1" customHeight="1">
      <c r="A197" s="83">
        <v>45902</v>
      </c>
      <c r="B197" s="84" t="s">
        <v>518</v>
      </c>
      <c r="C197" s="77" t="s">
        <v>717</v>
      </c>
      <c r="D197" s="86" t="s">
        <v>726</v>
      </c>
      <c r="E197" s="95" t="s">
        <v>727</v>
      </c>
      <c r="F197" s="89" t="s">
        <v>728</v>
      </c>
      <c r="G197" s="88" t="s">
        <v>721</v>
      </c>
    </row>
    <row r="198" spans="1:7" s="77" customFormat="1" ht="15" hidden="1" customHeight="1">
      <c r="A198" s="83">
        <v>45902</v>
      </c>
      <c r="B198" s="84" t="s">
        <v>518</v>
      </c>
      <c r="C198" s="77" t="s">
        <v>717</v>
      </c>
      <c r="D198" s="86" t="s">
        <v>726</v>
      </c>
      <c r="E198" s="96" t="s">
        <v>729</v>
      </c>
      <c r="F198" s="89" t="s">
        <v>728</v>
      </c>
      <c r="G198" s="88" t="s">
        <v>721</v>
      </c>
    </row>
    <row r="199" spans="1:7" s="77" customFormat="1" ht="15" hidden="1" customHeight="1">
      <c r="A199" s="83">
        <v>45902</v>
      </c>
      <c r="B199" s="84" t="s">
        <v>621</v>
      </c>
      <c r="C199" s="77" t="s">
        <v>717</v>
      </c>
      <c r="D199" s="86" t="s">
        <v>726</v>
      </c>
      <c r="E199" s="96" t="s">
        <v>735</v>
      </c>
      <c r="F199" s="89" t="s">
        <v>780</v>
      </c>
      <c r="G199" s="88" t="s">
        <v>721</v>
      </c>
    </row>
    <row r="200" spans="1:7" s="77" customFormat="1" ht="15" hidden="1" customHeight="1">
      <c r="A200" s="83">
        <v>45902</v>
      </c>
      <c r="B200" s="84" t="s">
        <v>518</v>
      </c>
      <c r="C200" s="77" t="s">
        <v>717</v>
      </c>
      <c r="D200" s="86" t="s">
        <v>726</v>
      </c>
      <c r="E200" s="96" t="s">
        <v>731</v>
      </c>
      <c r="F200" s="89" t="s">
        <v>728</v>
      </c>
      <c r="G200" s="88" t="s">
        <v>721</v>
      </c>
    </row>
    <row r="201" spans="1:7" s="77" customFormat="1" ht="15" hidden="1" customHeight="1">
      <c r="A201" s="83">
        <v>45902</v>
      </c>
      <c r="B201" s="84" t="s">
        <v>518</v>
      </c>
      <c r="C201" s="77" t="s">
        <v>717</v>
      </c>
      <c r="D201" s="86" t="s">
        <v>726</v>
      </c>
      <c r="E201" s="96" t="s">
        <v>732</v>
      </c>
      <c r="F201" s="89" t="s">
        <v>728</v>
      </c>
      <c r="G201" s="88" t="s">
        <v>721</v>
      </c>
    </row>
    <row r="202" spans="1:7" s="77" customFormat="1" ht="15" hidden="1" customHeight="1">
      <c r="A202" s="83">
        <v>45902</v>
      </c>
      <c r="B202" s="84" t="s">
        <v>518</v>
      </c>
      <c r="C202" s="77" t="s">
        <v>717</v>
      </c>
      <c r="D202" s="86" t="s">
        <v>726</v>
      </c>
      <c r="E202" s="96" t="s">
        <v>733</v>
      </c>
      <c r="F202" s="89" t="s">
        <v>728</v>
      </c>
      <c r="G202" s="88" t="s">
        <v>721</v>
      </c>
    </row>
    <row r="203" spans="1:7" s="77" customFormat="1" ht="15" hidden="1" customHeight="1">
      <c r="A203" s="83">
        <v>45902</v>
      </c>
      <c r="B203" s="84" t="s">
        <v>518</v>
      </c>
      <c r="C203" s="77" t="s">
        <v>717</v>
      </c>
      <c r="D203" s="86" t="s">
        <v>726</v>
      </c>
      <c r="E203" s="96" t="s">
        <v>734</v>
      </c>
      <c r="F203" s="89" t="s">
        <v>728</v>
      </c>
      <c r="G203" s="88" t="s">
        <v>721</v>
      </c>
    </row>
    <row r="204" spans="1:7" s="77" customFormat="1" ht="15" hidden="1" customHeight="1">
      <c r="A204" s="83">
        <v>45902</v>
      </c>
      <c r="B204" s="84" t="s">
        <v>518</v>
      </c>
      <c r="C204" s="77" t="s">
        <v>717</v>
      </c>
      <c r="D204" s="86" t="s">
        <v>726</v>
      </c>
      <c r="E204" s="96" t="s">
        <v>735</v>
      </c>
      <c r="F204" s="89" t="s">
        <v>728</v>
      </c>
      <c r="G204" s="88" t="s">
        <v>721</v>
      </c>
    </row>
    <row r="205" spans="1:7" s="77" customFormat="1" ht="15" hidden="1" customHeight="1">
      <c r="A205" s="83">
        <v>45902</v>
      </c>
      <c r="B205" s="84" t="s">
        <v>518</v>
      </c>
      <c r="C205" s="77" t="s">
        <v>717</v>
      </c>
      <c r="D205" s="86" t="s">
        <v>736</v>
      </c>
      <c r="E205" s="96" t="s">
        <v>737</v>
      </c>
      <c r="F205" s="89" t="s">
        <v>728</v>
      </c>
      <c r="G205" s="88" t="s">
        <v>721</v>
      </c>
    </row>
    <row r="206" spans="1:7" s="77" customFormat="1" ht="15" hidden="1" customHeight="1">
      <c r="A206" s="83">
        <v>45902</v>
      </c>
      <c r="B206" s="84" t="s">
        <v>518</v>
      </c>
      <c r="C206" s="77" t="s">
        <v>717</v>
      </c>
      <c r="D206" s="86" t="s">
        <v>736</v>
      </c>
      <c r="E206" s="96" t="s">
        <v>738</v>
      </c>
      <c r="F206" s="89" t="s">
        <v>728</v>
      </c>
      <c r="G206" s="88" t="s">
        <v>721</v>
      </c>
    </row>
    <row r="207" spans="1:7" s="77" customFormat="1" ht="15" hidden="1" customHeight="1">
      <c r="A207" s="83">
        <v>45902</v>
      </c>
      <c r="B207" s="84" t="s">
        <v>518</v>
      </c>
      <c r="C207" s="77" t="s">
        <v>717</v>
      </c>
      <c r="D207" s="85" t="s">
        <v>739</v>
      </c>
      <c r="E207" s="96" t="s">
        <v>740</v>
      </c>
      <c r="F207" s="89" t="s">
        <v>742</v>
      </c>
      <c r="G207" s="88" t="s">
        <v>721</v>
      </c>
    </row>
    <row r="208" spans="1:7" s="77" customFormat="1" ht="15" hidden="1" customHeight="1">
      <c r="A208" s="83">
        <v>45902</v>
      </c>
      <c r="B208" s="84" t="s">
        <v>518</v>
      </c>
      <c r="C208" s="77" t="s">
        <v>717</v>
      </c>
      <c r="D208" s="85" t="s">
        <v>739</v>
      </c>
      <c r="E208" s="96" t="s">
        <v>741</v>
      </c>
      <c r="F208" s="89" t="s">
        <v>728</v>
      </c>
      <c r="G208" s="88" t="s">
        <v>721</v>
      </c>
    </row>
    <row r="209" spans="1:7" s="77" customFormat="1" ht="15" hidden="1" customHeight="1">
      <c r="A209" s="83">
        <v>45902</v>
      </c>
      <c r="B209" s="84" t="s">
        <v>518</v>
      </c>
      <c r="C209" s="77" t="s">
        <v>717</v>
      </c>
      <c r="D209" s="85" t="s">
        <v>739</v>
      </c>
      <c r="E209" s="96" t="s">
        <v>743</v>
      </c>
      <c r="F209" s="89" t="s">
        <v>728</v>
      </c>
      <c r="G209" s="88" t="s">
        <v>721</v>
      </c>
    </row>
    <row r="210" spans="1:7" s="77" customFormat="1" ht="15" hidden="1" customHeight="1">
      <c r="A210" s="83">
        <v>45902</v>
      </c>
      <c r="B210" s="84" t="s">
        <v>518</v>
      </c>
      <c r="C210" s="77" t="s">
        <v>717</v>
      </c>
      <c r="D210" s="85" t="s">
        <v>744</v>
      </c>
      <c r="E210" s="96" t="s">
        <v>745</v>
      </c>
      <c r="F210" s="89" t="s">
        <v>728</v>
      </c>
      <c r="G210" s="88" t="s">
        <v>721</v>
      </c>
    </row>
    <row r="211" spans="1:7" s="77" customFormat="1" ht="15" hidden="1" customHeight="1">
      <c r="A211" s="83">
        <v>45902</v>
      </c>
      <c r="B211" s="84" t="s">
        <v>518</v>
      </c>
      <c r="C211" s="77" t="s">
        <v>717</v>
      </c>
      <c r="D211" s="85" t="s">
        <v>744</v>
      </c>
      <c r="E211" s="96" t="s">
        <v>746</v>
      </c>
      <c r="F211" s="89" t="s">
        <v>721</v>
      </c>
      <c r="G211" s="88" t="s">
        <v>721</v>
      </c>
    </row>
    <row r="212" spans="1:7" s="77" customFormat="1" ht="15" hidden="1" customHeight="1">
      <c r="A212" s="83">
        <v>45902</v>
      </c>
      <c r="B212" s="84" t="s">
        <v>518</v>
      </c>
      <c r="C212" s="77" t="s">
        <v>717</v>
      </c>
      <c r="D212" s="85" t="s">
        <v>744</v>
      </c>
      <c r="E212" s="96" t="s">
        <v>747</v>
      </c>
      <c r="F212" s="89" t="s">
        <v>721</v>
      </c>
      <c r="G212" s="88" t="s">
        <v>721</v>
      </c>
    </row>
    <row r="213" spans="1:7" s="77" customFormat="1" ht="15" hidden="1" customHeight="1">
      <c r="A213" s="83">
        <v>45902</v>
      </c>
      <c r="B213" s="84" t="s">
        <v>518</v>
      </c>
      <c r="C213" s="77" t="s">
        <v>717</v>
      </c>
      <c r="D213" s="85" t="s">
        <v>744</v>
      </c>
      <c r="E213" s="96" t="s">
        <v>748</v>
      </c>
      <c r="F213" s="89" t="s">
        <v>728</v>
      </c>
      <c r="G213" s="88" t="s">
        <v>721</v>
      </c>
    </row>
    <row r="214" spans="1:7" s="77" customFormat="1" ht="15" hidden="1" customHeight="1">
      <c r="A214" s="83">
        <v>45902</v>
      </c>
      <c r="B214" s="84" t="s">
        <v>518</v>
      </c>
      <c r="C214" s="77" t="s">
        <v>717</v>
      </c>
      <c r="D214" s="85" t="s">
        <v>744</v>
      </c>
      <c r="E214" s="96" t="s">
        <v>749</v>
      </c>
      <c r="F214" s="89" t="s">
        <v>728</v>
      </c>
      <c r="G214" s="88" t="s">
        <v>721</v>
      </c>
    </row>
    <row r="215" spans="1:7" s="77" customFormat="1" ht="15" hidden="1" customHeight="1">
      <c r="A215" s="83">
        <v>45902</v>
      </c>
      <c r="B215" s="84" t="s">
        <v>518</v>
      </c>
      <c r="C215" s="77" t="s">
        <v>717</v>
      </c>
      <c r="D215" s="85" t="s">
        <v>750</v>
      </c>
      <c r="E215" s="96" t="s">
        <v>751</v>
      </c>
      <c r="F215" s="89" t="s">
        <v>728</v>
      </c>
      <c r="G215" s="88" t="s">
        <v>721</v>
      </c>
    </row>
    <row r="216" spans="1:7" s="77" customFormat="1" ht="15" hidden="1" customHeight="1">
      <c r="A216" s="83">
        <v>45902</v>
      </c>
      <c r="B216" s="84" t="s">
        <v>518</v>
      </c>
      <c r="C216" s="77" t="s">
        <v>717</v>
      </c>
      <c r="D216" s="85" t="s">
        <v>750</v>
      </c>
      <c r="E216" s="96" t="s">
        <v>752</v>
      </c>
      <c r="F216" s="89" t="s">
        <v>728</v>
      </c>
      <c r="G216" s="88" t="s">
        <v>721</v>
      </c>
    </row>
    <row r="217" spans="1:7" s="77" customFormat="1" ht="15" hidden="1" customHeight="1">
      <c r="A217" s="83">
        <v>45902</v>
      </c>
      <c r="B217" s="84" t="s">
        <v>518</v>
      </c>
      <c r="C217" s="77" t="s">
        <v>717</v>
      </c>
      <c r="D217" s="85" t="s">
        <v>750</v>
      </c>
      <c r="E217" s="96" t="s">
        <v>753</v>
      </c>
      <c r="F217" s="89" t="s">
        <v>728</v>
      </c>
      <c r="G217" s="88" t="s">
        <v>721</v>
      </c>
    </row>
    <row r="218" spans="1:7" s="77" customFormat="1" ht="15" hidden="1" customHeight="1">
      <c r="A218" s="83">
        <v>45902</v>
      </c>
      <c r="B218" s="84" t="s">
        <v>518</v>
      </c>
      <c r="C218" s="77" t="s">
        <v>717</v>
      </c>
      <c r="D218" s="85" t="s">
        <v>750</v>
      </c>
      <c r="E218" s="96" t="s">
        <v>754</v>
      </c>
      <c r="F218" s="89" t="s">
        <v>728</v>
      </c>
      <c r="G218" s="88" t="s">
        <v>721</v>
      </c>
    </row>
    <row r="219" spans="1:7" s="77" customFormat="1" ht="15" hidden="1" customHeight="1">
      <c r="A219" s="83">
        <v>45902</v>
      </c>
      <c r="B219" s="84" t="s">
        <v>518</v>
      </c>
      <c r="C219" s="77" t="s">
        <v>717</v>
      </c>
      <c r="D219" s="85" t="s">
        <v>755</v>
      </c>
      <c r="E219" s="86" t="s">
        <v>756</v>
      </c>
      <c r="F219" s="89" t="s">
        <v>728</v>
      </c>
      <c r="G219" s="88" t="s">
        <v>721</v>
      </c>
    </row>
    <row r="220" spans="1:7" s="77" customFormat="1" ht="15" hidden="1" customHeight="1">
      <c r="A220" s="83">
        <v>45902</v>
      </c>
      <c r="B220" s="84" t="s">
        <v>518</v>
      </c>
      <c r="C220" s="77" t="s">
        <v>717</v>
      </c>
      <c r="D220" s="85" t="s">
        <v>755</v>
      </c>
      <c r="E220" s="96" t="s">
        <v>757</v>
      </c>
      <c r="F220" s="89" t="s">
        <v>728</v>
      </c>
      <c r="G220" s="88" t="s">
        <v>721</v>
      </c>
    </row>
    <row r="221" spans="1:7" s="77" customFormat="1" ht="15" hidden="1" customHeight="1">
      <c r="A221" s="83">
        <v>45902</v>
      </c>
      <c r="B221" s="84" t="s">
        <v>518</v>
      </c>
      <c r="C221" s="77" t="s">
        <v>717</v>
      </c>
      <c r="D221" s="85" t="s">
        <v>758</v>
      </c>
      <c r="E221" s="96" t="s">
        <v>759</v>
      </c>
      <c r="F221" s="89" t="s">
        <v>728</v>
      </c>
      <c r="G221" s="88" t="s">
        <v>721</v>
      </c>
    </row>
    <row r="222" spans="1:7" s="77" customFormat="1" ht="15" hidden="1" customHeight="1">
      <c r="A222" s="83">
        <v>45902</v>
      </c>
      <c r="B222" s="84" t="s">
        <v>518</v>
      </c>
      <c r="C222" s="77" t="s">
        <v>717</v>
      </c>
      <c r="D222" s="85" t="s">
        <v>758</v>
      </c>
      <c r="E222" s="96" t="s">
        <v>760</v>
      </c>
      <c r="F222" s="89" t="s">
        <v>728</v>
      </c>
      <c r="G222" s="88" t="s">
        <v>721</v>
      </c>
    </row>
    <row r="223" spans="1:7" s="77" customFormat="1" ht="15" hidden="1" customHeight="1">
      <c r="A223" s="83">
        <v>45902</v>
      </c>
      <c r="B223" s="84" t="s">
        <v>518</v>
      </c>
      <c r="C223" s="77" t="s">
        <v>717</v>
      </c>
      <c r="D223" s="85" t="s">
        <v>758</v>
      </c>
      <c r="E223" s="96" t="s">
        <v>761</v>
      </c>
      <c r="F223" s="89" t="s">
        <v>728</v>
      </c>
      <c r="G223" s="88" t="s">
        <v>721</v>
      </c>
    </row>
    <row r="224" spans="1:7" s="77" customFormat="1" ht="15" hidden="1" customHeight="1">
      <c r="A224" s="83">
        <v>45902</v>
      </c>
      <c r="B224" s="84" t="s">
        <v>518</v>
      </c>
      <c r="C224" s="77" t="s">
        <v>717</v>
      </c>
      <c r="D224" s="85" t="s">
        <v>758</v>
      </c>
      <c r="E224" s="96" t="s">
        <v>762</v>
      </c>
      <c r="F224" s="89" t="s">
        <v>728</v>
      </c>
      <c r="G224" s="88" t="s">
        <v>721</v>
      </c>
    </row>
    <row r="225" spans="1:7" s="77" customFormat="1" ht="15" hidden="1" customHeight="1">
      <c r="A225" s="83">
        <v>45902</v>
      </c>
      <c r="B225" s="84" t="s">
        <v>518</v>
      </c>
      <c r="C225" s="77" t="s">
        <v>717</v>
      </c>
      <c r="D225" s="85" t="s">
        <v>758</v>
      </c>
      <c r="E225" s="96" t="s">
        <v>763</v>
      </c>
      <c r="F225" s="89" t="s">
        <v>728</v>
      </c>
      <c r="G225" s="88" t="s">
        <v>721</v>
      </c>
    </row>
    <row r="226" spans="1:7" s="77" customFormat="1" ht="15" hidden="1" customHeight="1">
      <c r="A226" s="83">
        <v>45902</v>
      </c>
      <c r="B226" s="84" t="s">
        <v>621</v>
      </c>
      <c r="C226" s="77" t="s">
        <v>717</v>
      </c>
      <c r="D226" s="85" t="s">
        <v>718</v>
      </c>
      <c r="E226" s="86" t="s">
        <v>765</v>
      </c>
      <c r="F226" s="87" t="s">
        <v>720</v>
      </c>
      <c r="G226" s="88" t="s">
        <v>721</v>
      </c>
    </row>
    <row r="227" spans="1:7" s="77" customFormat="1" ht="15" hidden="1" customHeight="1">
      <c r="A227" s="83">
        <v>45902</v>
      </c>
      <c r="B227" s="84" t="s">
        <v>518</v>
      </c>
      <c r="C227" s="77" t="s">
        <v>717</v>
      </c>
      <c r="D227" s="85" t="s">
        <v>718</v>
      </c>
      <c r="E227" s="86" t="s">
        <v>719</v>
      </c>
      <c r="F227" s="89" t="s">
        <v>728</v>
      </c>
      <c r="G227" s="88" t="s">
        <v>721</v>
      </c>
    </row>
    <row r="228" spans="1:7" s="77" customFormat="1" ht="15" hidden="1" customHeight="1">
      <c r="A228" s="83">
        <v>45902</v>
      </c>
      <c r="B228" s="84" t="s">
        <v>518</v>
      </c>
      <c r="C228" s="77" t="s">
        <v>717</v>
      </c>
      <c r="D228" s="85" t="s">
        <v>718</v>
      </c>
      <c r="E228" s="86" t="s">
        <v>765</v>
      </c>
      <c r="F228" s="89" t="s">
        <v>728</v>
      </c>
      <c r="G228" s="88" t="s">
        <v>721</v>
      </c>
    </row>
    <row r="229" spans="1:7" s="77" customFormat="1" ht="15" hidden="1" customHeight="1">
      <c r="A229" s="83">
        <v>45902</v>
      </c>
      <c r="B229" s="84" t="s">
        <v>518</v>
      </c>
      <c r="C229" s="77" t="s">
        <v>717</v>
      </c>
      <c r="D229" s="85" t="s">
        <v>718</v>
      </c>
      <c r="E229" s="86" t="s">
        <v>766</v>
      </c>
      <c r="F229" s="89" t="s">
        <v>728</v>
      </c>
      <c r="G229" s="88" t="s">
        <v>721</v>
      </c>
    </row>
    <row r="230" spans="1:7" s="77" customFormat="1" ht="15" hidden="1" customHeight="1">
      <c r="A230" s="83">
        <v>45902</v>
      </c>
      <c r="B230" s="84" t="s">
        <v>518</v>
      </c>
      <c r="C230" s="77" t="s">
        <v>717</v>
      </c>
      <c r="D230" s="85" t="s">
        <v>718</v>
      </c>
      <c r="E230" s="86" t="s">
        <v>767</v>
      </c>
      <c r="F230" s="89" t="s">
        <v>728</v>
      </c>
      <c r="G230" s="88" t="s">
        <v>721</v>
      </c>
    </row>
    <row r="231" spans="1:7" s="77" customFormat="1" ht="15" hidden="1" customHeight="1">
      <c r="A231" s="83">
        <v>45902</v>
      </c>
      <c r="B231" s="84" t="s">
        <v>518</v>
      </c>
      <c r="C231" s="77" t="s">
        <v>717</v>
      </c>
      <c r="D231" s="85" t="s">
        <v>718</v>
      </c>
      <c r="E231" s="86" t="s">
        <v>768</v>
      </c>
      <c r="F231" s="89" t="s">
        <v>728</v>
      </c>
      <c r="G231" s="88" t="s">
        <v>721</v>
      </c>
    </row>
    <row r="232" spans="1:7" s="77" customFormat="1" ht="15" hidden="1" customHeight="1">
      <c r="A232" s="83">
        <v>45902</v>
      </c>
      <c r="B232" s="84" t="s">
        <v>518</v>
      </c>
      <c r="C232" s="77" t="s">
        <v>717</v>
      </c>
      <c r="D232" s="85" t="s">
        <v>718</v>
      </c>
      <c r="E232" s="86" t="s">
        <v>769</v>
      </c>
      <c r="F232" s="89" t="s">
        <v>728</v>
      </c>
      <c r="G232" s="88" t="s">
        <v>721</v>
      </c>
    </row>
    <row r="233" spans="1:7" s="77" customFormat="1" ht="15" hidden="1" customHeight="1">
      <c r="A233" s="83">
        <v>45902</v>
      </c>
      <c r="B233" s="84" t="s">
        <v>518</v>
      </c>
      <c r="C233" s="77" t="s">
        <v>717</v>
      </c>
      <c r="D233" s="85" t="s">
        <v>718</v>
      </c>
      <c r="E233" s="86" t="s">
        <v>770</v>
      </c>
      <c r="F233" s="89" t="s">
        <v>728</v>
      </c>
      <c r="G233" s="88" t="s">
        <v>721</v>
      </c>
    </row>
    <row r="234" spans="1:7" s="77" customFormat="1" ht="15" hidden="1" customHeight="1">
      <c r="A234" s="83">
        <v>45902</v>
      </c>
      <c r="B234" s="84" t="s">
        <v>518</v>
      </c>
      <c r="C234" s="77" t="s">
        <v>717</v>
      </c>
      <c r="D234" s="85" t="s">
        <v>718</v>
      </c>
      <c r="E234" s="86" t="s">
        <v>771</v>
      </c>
      <c r="F234" s="89" t="s">
        <v>728</v>
      </c>
      <c r="G234" s="88" t="s">
        <v>721</v>
      </c>
    </row>
    <row r="235" spans="1:7" s="77" customFormat="1" ht="15" hidden="1" customHeight="1">
      <c r="A235" s="83">
        <v>45902</v>
      </c>
      <c r="B235" s="84" t="s">
        <v>518</v>
      </c>
      <c r="C235" s="77" t="s">
        <v>717</v>
      </c>
      <c r="D235" s="85" t="s">
        <v>718</v>
      </c>
      <c r="E235" s="86" t="s">
        <v>772</v>
      </c>
      <c r="F235" s="89" t="s">
        <v>728</v>
      </c>
      <c r="G235" s="88" t="s">
        <v>721</v>
      </c>
    </row>
    <row r="236" spans="1:7" s="77" customFormat="1" ht="15" hidden="1" customHeight="1">
      <c r="A236" s="83">
        <v>45902</v>
      </c>
      <c r="B236" s="84" t="s">
        <v>523</v>
      </c>
      <c r="C236" s="77" t="s">
        <v>717</v>
      </c>
      <c r="D236" s="86" t="s">
        <v>726</v>
      </c>
      <c r="E236" s="95" t="s">
        <v>727</v>
      </c>
      <c r="F236" s="89" t="s">
        <v>728</v>
      </c>
      <c r="G236" s="88" t="s">
        <v>721</v>
      </c>
    </row>
    <row r="237" spans="1:7" s="77" customFormat="1" ht="15" hidden="1" customHeight="1">
      <c r="A237" s="83">
        <v>45902</v>
      </c>
      <c r="B237" s="84" t="s">
        <v>523</v>
      </c>
      <c r="C237" s="77" t="s">
        <v>717</v>
      </c>
      <c r="D237" s="86" t="s">
        <v>726</v>
      </c>
      <c r="E237" s="96" t="s">
        <v>729</v>
      </c>
      <c r="F237" s="89" t="s">
        <v>728</v>
      </c>
      <c r="G237" s="88" t="s">
        <v>721</v>
      </c>
    </row>
    <row r="238" spans="1:7" s="77" customFormat="1" ht="15" hidden="1" customHeight="1">
      <c r="A238" s="83">
        <v>45902</v>
      </c>
      <c r="B238" s="84" t="s">
        <v>523</v>
      </c>
      <c r="C238" s="77" t="s">
        <v>717</v>
      </c>
      <c r="D238" s="86" t="s">
        <v>726</v>
      </c>
      <c r="E238" s="96" t="s">
        <v>730</v>
      </c>
      <c r="F238" s="89" t="s">
        <v>728</v>
      </c>
      <c r="G238" s="88" t="s">
        <v>721</v>
      </c>
    </row>
    <row r="239" spans="1:7" s="77" customFormat="1" ht="15" hidden="1" customHeight="1">
      <c r="A239" s="83">
        <v>45902</v>
      </c>
      <c r="B239" s="84" t="s">
        <v>523</v>
      </c>
      <c r="C239" s="77" t="s">
        <v>717</v>
      </c>
      <c r="D239" s="86" t="s">
        <v>726</v>
      </c>
      <c r="E239" s="96" t="s">
        <v>731</v>
      </c>
      <c r="F239" s="89" t="s">
        <v>728</v>
      </c>
      <c r="G239" s="88" t="s">
        <v>721</v>
      </c>
    </row>
    <row r="240" spans="1:7" s="77" customFormat="1" ht="15" hidden="1" customHeight="1">
      <c r="A240" s="83">
        <v>45902</v>
      </c>
      <c r="B240" s="84" t="s">
        <v>523</v>
      </c>
      <c r="C240" s="77" t="s">
        <v>717</v>
      </c>
      <c r="D240" s="86" t="s">
        <v>726</v>
      </c>
      <c r="E240" s="96" t="s">
        <v>732</v>
      </c>
      <c r="F240" s="89" t="s">
        <v>728</v>
      </c>
      <c r="G240" s="88" t="s">
        <v>721</v>
      </c>
    </row>
    <row r="241" spans="1:7" s="77" customFormat="1" ht="15" hidden="1" customHeight="1">
      <c r="A241" s="83">
        <v>45902</v>
      </c>
      <c r="B241" s="84" t="s">
        <v>523</v>
      </c>
      <c r="C241" s="77" t="s">
        <v>717</v>
      </c>
      <c r="D241" s="86" t="s">
        <v>726</v>
      </c>
      <c r="E241" s="96" t="s">
        <v>733</v>
      </c>
      <c r="F241" s="89" t="s">
        <v>728</v>
      </c>
      <c r="G241" s="88" t="s">
        <v>721</v>
      </c>
    </row>
    <row r="242" spans="1:7" s="77" customFormat="1" ht="15" hidden="1" customHeight="1">
      <c r="A242" s="83">
        <v>45902</v>
      </c>
      <c r="B242" s="84" t="s">
        <v>523</v>
      </c>
      <c r="C242" s="77" t="s">
        <v>717</v>
      </c>
      <c r="D242" s="86" t="s">
        <v>726</v>
      </c>
      <c r="E242" s="96" t="s">
        <v>734</v>
      </c>
      <c r="F242" s="89" t="s">
        <v>728</v>
      </c>
      <c r="G242" s="88" t="s">
        <v>721</v>
      </c>
    </row>
    <row r="243" spans="1:7" s="77" customFormat="1" ht="15" hidden="1" customHeight="1">
      <c r="A243" s="83">
        <v>45902</v>
      </c>
      <c r="B243" s="84" t="s">
        <v>523</v>
      </c>
      <c r="C243" s="77" t="s">
        <v>717</v>
      </c>
      <c r="D243" s="86" t="s">
        <v>726</v>
      </c>
      <c r="E243" s="96" t="s">
        <v>735</v>
      </c>
      <c r="F243" s="89" t="s">
        <v>728</v>
      </c>
      <c r="G243" s="88" t="s">
        <v>721</v>
      </c>
    </row>
    <row r="244" spans="1:7" s="77" customFormat="1" ht="15" hidden="1" customHeight="1">
      <c r="A244" s="83">
        <v>45902</v>
      </c>
      <c r="B244" s="84" t="s">
        <v>523</v>
      </c>
      <c r="C244" s="77" t="s">
        <v>717</v>
      </c>
      <c r="D244" s="86" t="s">
        <v>736</v>
      </c>
      <c r="E244" s="96" t="s">
        <v>737</v>
      </c>
      <c r="F244" s="89" t="s">
        <v>728</v>
      </c>
      <c r="G244" s="88" t="s">
        <v>721</v>
      </c>
    </row>
    <row r="245" spans="1:7" s="77" customFormat="1" ht="15" hidden="1" customHeight="1">
      <c r="A245" s="83">
        <v>45902</v>
      </c>
      <c r="B245" s="84" t="s">
        <v>523</v>
      </c>
      <c r="C245" s="77" t="s">
        <v>717</v>
      </c>
      <c r="D245" s="86" t="s">
        <v>736</v>
      </c>
      <c r="E245" s="96" t="s">
        <v>738</v>
      </c>
      <c r="F245" s="89" t="s">
        <v>728</v>
      </c>
      <c r="G245" s="88" t="s">
        <v>721</v>
      </c>
    </row>
    <row r="246" spans="1:7" s="77" customFormat="1" ht="15" hidden="1" customHeight="1">
      <c r="A246" s="83">
        <v>45902</v>
      </c>
      <c r="B246" s="84" t="s">
        <v>523</v>
      </c>
      <c r="C246" s="77" t="s">
        <v>717</v>
      </c>
      <c r="D246" s="85" t="s">
        <v>739</v>
      </c>
      <c r="E246" s="96" t="s">
        <v>740</v>
      </c>
      <c r="F246" s="89" t="s">
        <v>742</v>
      </c>
      <c r="G246" s="88" t="s">
        <v>721</v>
      </c>
    </row>
    <row r="247" spans="1:7" s="77" customFormat="1" ht="15" hidden="1" customHeight="1">
      <c r="A247" s="83">
        <v>45902</v>
      </c>
      <c r="B247" s="84" t="s">
        <v>523</v>
      </c>
      <c r="C247" s="77" t="s">
        <v>717</v>
      </c>
      <c r="D247" s="85" t="s">
        <v>739</v>
      </c>
      <c r="E247" s="96" t="s">
        <v>741</v>
      </c>
      <c r="F247" s="89" t="s">
        <v>728</v>
      </c>
      <c r="G247" s="88" t="s">
        <v>721</v>
      </c>
    </row>
    <row r="248" spans="1:7" s="77" customFormat="1" ht="15" hidden="1" customHeight="1">
      <c r="A248" s="83">
        <v>45902</v>
      </c>
      <c r="B248" s="84" t="s">
        <v>523</v>
      </c>
      <c r="C248" s="77" t="s">
        <v>717</v>
      </c>
      <c r="D248" s="85" t="s">
        <v>739</v>
      </c>
      <c r="E248" s="96" t="s">
        <v>743</v>
      </c>
      <c r="F248" s="89" t="s">
        <v>728</v>
      </c>
      <c r="G248" s="88" t="s">
        <v>721</v>
      </c>
    </row>
    <row r="249" spans="1:7" s="77" customFormat="1" ht="15" hidden="1" customHeight="1">
      <c r="A249" s="83">
        <v>45902</v>
      </c>
      <c r="B249" s="84" t="s">
        <v>523</v>
      </c>
      <c r="C249" s="77" t="s">
        <v>717</v>
      </c>
      <c r="D249" s="85" t="s">
        <v>744</v>
      </c>
      <c r="E249" s="96" t="s">
        <v>745</v>
      </c>
      <c r="F249" s="89" t="s">
        <v>728</v>
      </c>
      <c r="G249" s="88" t="s">
        <v>721</v>
      </c>
    </row>
    <row r="250" spans="1:7" s="77" customFormat="1" ht="15" hidden="1" customHeight="1">
      <c r="A250" s="83">
        <v>45902</v>
      </c>
      <c r="B250" s="84" t="s">
        <v>523</v>
      </c>
      <c r="C250" s="77" t="s">
        <v>717</v>
      </c>
      <c r="D250" s="85" t="s">
        <v>744</v>
      </c>
      <c r="E250" s="96" t="s">
        <v>746</v>
      </c>
      <c r="F250" s="89" t="s">
        <v>721</v>
      </c>
      <c r="G250" s="88" t="s">
        <v>721</v>
      </c>
    </row>
    <row r="251" spans="1:7" s="77" customFormat="1" ht="15" hidden="1" customHeight="1">
      <c r="A251" s="83">
        <v>45902</v>
      </c>
      <c r="B251" s="84" t="s">
        <v>523</v>
      </c>
      <c r="C251" s="77" t="s">
        <v>717</v>
      </c>
      <c r="D251" s="85" t="s">
        <v>744</v>
      </c>
      <c r="E251" s="96" t="s">
        <v>747</v>
      </c>
      <c r="F251" s="89" t="s">
        <v>721</v>
      </c>
      <c r="G251" s="88" t="s">
        <v>721</v>
      </c>
    </row>
    <row r="252" spans="1:7" s="77" customFormat="1" ht="15" hidden="1" customHeight="1">
      <c r="A252" s="83">
        <v>45902</v>
      </c>
      <c r="B252" s="84" t="s">
        <v>523</v>
      </c>
      <c r="C252" s="77" t="s">
        <v>717</v>
      </c>
      <c r="D252" s="85" t="s">
        <v>744</v>
      </c>
      <c r="E252" s="96" t="s">
        <v>748</v>
      </c>
      <c r="F252" s="89" t="s">
        <v>728</v>
      </c>
      <c r="G252" s="88" t="s">
        <v>721</v>
      </c>
    </row>
    <row r="253" spans="1:7" s="77" customFormat="1" ht="15" hidden="1" customHeight="1">
      <c r="A253" s="83">
        <v>45902</v>
      </c>
      <c r="B253" s="84" t="s">
        <v>523</v>
      </c>
      <c r="C253" s="77" t="s">
        <v>717</v>
      </c>
      <c r="D253" s="85" t="s">
        <v>744</v>
      </c>
      <c r="E253" s="96" t="s">
        <v>749</v>
      </c>
      <c r="F253" s="89" t="s">
        <v>728</v>
      </c>
      <c r="G253" s="88" t="s">
        <v>721</v>
      </c>
    </row>
    <row r="254" spans="1:7" s="77" customFormat="1" ht="15" hidden="1" customHeight="1">
      <c r="A254" s="83">
        <v>45902</v>
      </c>
      <c r="B254" s="84" t="s">
        <v>523</v>
      </c>
      <c r="C254" s="77" t="s">
        <v>717</v>
      </c>
      <c r="D254" s="85" t="s">
        <v>750</v>
      </c>
      <c r="E254" s="96" t="s">
        <v>751</v>
      </c>
      <c r="F254" s="89" t="s">
        <v>728</v>
      </c>
      <c r="G254" s="88" t="s">
        <v>721</v>
      </c>
    </row>
    <row r="255" spans="1:7" s="77" customFormat="1" ht="15" hidden="1" customHeight="1">
      <c r="A255" s="83">
        <v>45902</v>
      </c>
      <c r="B255" s="84" t="s">
        <v>523</v>
      </c>
      <c r="C255" s="77" t="s">
        <v>717</v>
      </c>
      <c r="D255" s="85" t="s">
        <v>750</v>
      </c>
      <c r="E255" s="96" t="s">
        <v>752</v>
      </c>
      <c r="F255" s="89" t="s">
        <v>728</v>
      </c>
      <c r="G255" s="88" t="s">
        <v>721</v>
      </c>
    </row>
    <row r="256" spans="1:7" s="77" customFormat="1" ht="15" hidden="1" customHeight="1">
      <c r="A256" s="83">
        <v>45902</v>
      </c>
      <c r="B256" s="84" t="s">
        <v>523</v>
      </c>
      <c r="C256" s="77" t="s">
        <v>717</v>
      </c>
      <c r="D256" s="85" t="s">
        <v>750</v>
      </c>
      <c r="E256" s="96" t="s">
        <v>753</v>
      </c>
      <c r="F256" s="89" t="s">
        <v>728</v>
      </c>
      <c r="G256" s="88" t="s">
        <v>721</v>
      </c>
    </row>
    <row r="257" spans="1:11" s="77" customFormat="1" ht="15" hidden="1" customHeight="1">
      <c r="A257" s="83">
        <v>45902</v>
      </c>
      <c r="B257" s="84" t="s">
        <v>523</v>
      </c>
      <c r="C257" s="77" t="s">
        <v>717</v>
      </c>
      <c r="D257" s="85" t="s">
        <v>750</v>
      </c>
      <c r="E257" s="96" t="s">
        <v>754</v>
      </c>
      <c r="F257" s="89" t="s">
        <v>728</v>
      </c>
      <c r="G257" s="88" t="s">
        <v>721</v>
      </c>
    </row>
    <row r="258" spans="1:11" s="77" customFormat="1" ht="15" hidden="1" customHeight="1">
      <c r="A258" s="83">
        <v>45902</v>
      </c>
      <c r="B258" s="84" t="s">
        <v>523</v>
      </c>
      <c r="C258" s="77" t="s">
        <v>717</v>
      </c>
      <c r="D258" s="85" t="s">
        <v>755</v>
      </c>
      <c r="E258" s="86" t="s">
        <v>756</v>
      </c>
      <c r="F258" s="89" t="s">
        <v>728</v>
      </c>
      <c r="G258" s="88" t="s">
        <v>721</v>
      </c>
    </row>
    <row r="259" spans="1:11" s="77" customFormat="1" ht="15" hidden="1" customHeight="1">
      <c r="A259" s="83">
        <v>45902</v>
      </c>
      <c r="B259" s="84" t="s">
        <v>523</v>
      </c>
      <c r="C259" s="77" t="s">
        <v>717</v>
      </c>
      <c r="D259" s="85" t="s">
        <v>755</v>
      </c>
      <c r="E259" s="96" t="s">
        <v>757</v>
      </c>
      <c r="F259" s="89" t="s">
        <v>728</v>
      </c>
      <c r="G259" s="88" t="s">
        <v>721</v>
      </c>
    </row>
    <row r="260" spans="1:11" s="77" customFormat="1" ht="15" hidden="1" customHeight="1">
      <c r="A260" s="83">
        <v>45902</v>
      </c>
      <c r="B260" s="84" t="s">
        <v>523</v>
      </c>
      <c r="C260" s="77" t="s">
        <v>717</v>
      </c>
      <c r="D260" s="85" t="s">
        <v>758</v>
      </c>
      <c r="E260" s="96" t="s">
        <v>759</v>
      </c>
      <c r="F260" s="89" t="s">
        <v>728</v>
      </c>
      <c r="G260" s="88" t="s">
        <v>721</v>
      </c>
    </row>
    <row r="261" spans="1:11" s="77" customFormat="1" ht="15" hidden="1" customHeight="1">
      <c r="A261" s="83">
        <v>45902</v>
      </c>
      <c r="B261" s="84" t="s">
        <v>523</v>
      </c>
      <c r="C261" s="77" t="s">
        <v>717</v>
      </c>
      <c r="D261" s="85" t="s">
        <v>758</v>
      </c>
      <c r="E261" s="96" t="s">
        <v>760</v>
      </c>
      <c r="F261" s="89" t="s">
        <v>728</v>
      </c>
      <c r="G261" s="88" t="s">
        <v>721</v>
      </c>
    </row>
    <row r="262" spans="1:11" s="77" customFormat="1" ht="15" hidden="1" customHeight="1">
      <c r="A262" s="83">
        <v>45902</v>
      </c>
      <c r="B262" s="84" t="s">
        <v>523</v>
      </c>
      <c r="C262" s="77" t="s">
        <v>717</v>
      </c>
      <c r="D262" s="85" t="s">
        <v>758</v>
      </c>
      <c r="E262" s="96" t="s">
        <v>761</v>
      </c>
      <c r="F262" s="89" t="s">
        <v>728</v>
      </c>
      <c r="G262" s="88" t="s">
        <v>721</v>
      </c>
    </row>
    <row r="263" spans="1:11" s="77" customFormat="1" ht="15" hidden="1" customHeight="1">
      <c r="A263" s="83">
        <v>45902</v>
      </c>
      <c r="B263" s="84" t="s">
        <v>523</v>
      </c>
      <c r="C263" s="77" t="s">
        <v>717</v>
      </c>
      <c r="D263" s="85" t="s">
        <v>758</v>
      </c>
      <c r="E263" s="96" t="s">
        <v>762</v>
      </c>
      <c r="F263" s="89" t="s">
        <v>728</v>
      </c>
      <c r="G263" s="88" t="s">
        <v>721</v>
      </c>
    </row>
    <row r="264" spans="1:11" s="77" customFormat="1" ht="15" hidden="1" customHeight="1">
      <c r="A264" s="83">
        <v>45902</v>
      </c>
      <c r="B264" s="84" t="s">
        <v>523</v>
      </c>
      <c r="C264" s="77" t="s">
        <v>717</v>
      </c>
      <c r="D264" s="85" t="s">
        <v>758</v>
      </c>
      <c r="E264" s="96" t="s">
        <v>763</v>
      </c>
      <c r="F264" s="89" t="s">
        <v>728</v>
      </c>
      <c r="G264" s="88" t="s">
        <v>721</v>
      </c>
    </row>
    <row r="265" spans="1:11" ht="15" customHeight="1">
      <c r="A265" s="90">
        <v>45902</v>
      </c>
      <c r="B265" s="91" t="s">
        <v>616</v>
      </c>
      <c r="C265" s="78" t="s">
        <v>717</v>
      </c>
      <c r="D265" s="91" t="s">
        <v>726</v>
      </c>
      <c r="E265" s="78" t="s">
        <v>731</v>
      </c>
      <c r="F265" s="93" t="s">
        <v>781</v>
      </c>
      <c r="G265" s="94">
        <v>1851048</v>
      </c>
      <c r="H265" s="78" t="s">
        <v>354</v>
      </c>
      <c r="I265" s="78" t="s">
        <v>774</v>
      </c>
      <c r="J265" s="78" t="s">
        <v>779</v>
      </c>
      <c r="K265" s="78" t="s">
        <v>354</v>
      </c>
    </row>
    <row r="266" spans="1:11" s="77" customFormat="1" ht="15" hidden="1" customHeight="1">
      <c r="A266" s="83">
        <v>45902</v>
      </c>
      <c r="B266" s="84" t="s">
        <v>523</v>
      </c>
      <c r="C266" s="77" t="s">
        <v>717</v>
      </c>
      <c r="D266" s="85" t="s">
        <v>718</v>
      </c>
      <c r="E266" s="86" t="s">
        <v>719</v>
      </c>
      <c r="F266" s="89" t="s">
        <v>728</v>
      </c>
      <c r="G266" s="88" t="s">
        <v>721</v>
      </c>
    </row>
    <row r="267" spans="1:11" s="77" customFormat="1" ht="15" hidden="1" customHeight="1">
      <c r="A267" s="83">
        <v>45902</v>
      </c>
      <c r="B267" s="84" t="s">
        <v>523</v>
      </c>
      <c r="C267" s="77" t="s">
        <v>717</v>
      </c>
      <c r="D267" s="85" t="s">
        <v>718</v>
      </c>
      <c r="E267" s="86" t="s">
        <v>765</v>
      </c>
      <c r="F267" s="89" t="s">
        <v>728</v>
      </c>
      <c r="G267" s="88" t="s">
        <v>721</v>
      </c>
    </row>
    <row r="268" spans="1:11" s="77" customFormat="1" ht="15" hidden="1" customHeight="1">
      <c r="A268" s="83">
        <v>45902</v>
      </c>
      <c r="B268" s="84" t="s">
        <v>523</v>
      </c>
      <c r="C268" s="77" t="s">
        <v>717</v>
      </c>
      <c r="D268" s="85" t="s">
        <v>718</v>
      </c>
      <c r="E268" s="86" t="s">
        <v>766</v>
      </c>
      <c r="F268" s="89" t="s">
        <v>728</v>
      </c>
      <c r="G268" s="88" t="s">
        <v>721</v>
      </c>
    </row>
    <row r="269" spans="1:11" s="77" customFormat="1" ht="15" hidden="1" customHeight="1">
      <c r="A269" s="83">
        <v>45902</v>
      </c>
      <c r="B269" s="84" t="s">
        <v>523</v>
      </c>
      <c r="C269" s="77" t="s">
        <v>717</v>
      </c>
      <c r="D269" s="85" t="s">
        <v>718</v>
      </c>
      <c r="E269" s="86" t="s">
        <v>767</v>
      </c>
      <c r="F269" s="89" t="s">
        <v>728</v>
      </c>
      <c r="G269" s="88" t="s">
        <v>721</v>
      </c>
    </row>
    <row r="270" spans="1:11" s="77" customFormat="1" ht="15" hidden="1" customHeight="1">
      <c r="A270" s="83">
        <v>45902</v>
      </c>
      <c r="B270" s="84" t="s">
        <v>523</v>
      </c>
      <c r="C270" s="77" t="s">
        <v>717</v>
      </c>
      <c r="D270" s="85" t="s">
        <v>718</v>
      </c>
      <c r="E270" s="86" t="s">
        <v>768</v>
      </c>
      <c r="F270" s="89" t="s">
        <v>728</v>
      </c>
      <c r="G270" s="88" t="s">
        <v>721</v>
      </c>
    </row>
    <row r="271" spans="1:11" s="77" customFormat="1" ht="15" hidden="1" customHeight="1">
      <c r="A271" s="83">
        <v>45902</v>
      </c>
      <c r="B271" s="84" t="s">
        <v>523</v>
      </c>
      <c r="C271" s="77" t="s">
        <v>717</v>
      </c>
      <c r="D271" s="85" t="s">
        <v>718</v>
      </c>
      <c r="E271" s="86" t="s">
        <v>769</v>
      </c>
      <c r="F271" s="89" t="s">
        <v>728</v>
      </c>
      <c r="G271" s="88" t="s">
        <v>721</v>
      </c>
    </row>
    <row r="272" spans="1:11" s="77" customFormat="1" ht="15" hidden="1" customHeight="1">
      <c r="A272" s="83">
        <v>45902</v>
      </c>
      <c r="B272" s="84" t="s">
        <v>523</v>
      </c>
      <c r="C272" s="77" t="s">
        <v>717</v>
      </c>
      <c r="D272" s="85" t="s">
        <v>718</v>
      </c>
      <c r="E272" s="86" t="s">
        <v>770</v>
      </c>
      <c r="F272" s="89" t="s">
        <v>728</v>
      </c>
      <c r="G272" s="88" t="s">
        <v>721</v>
      </c>
    </row>
    <row r="273" spans="1:11" s="77" customFormat="1" ht="15" hidden="1" customHeight="1">
      <c r="A273" s="83">
        <v>45902</v>
      </c>
      <c r="B273" s="84" t="s">
        <v>523</v>
      </c>
      <c r="C273" s="77" t="s">
        <v>717</v>
      </c>
      <c r="D273" s="85" t="s">
        <v>718</v>
      </c>
      <c r="E273" s="86" t="s">
        <v>771</v>
      </c>
      <c r="F273" s="89" t="s">
        <v>728</v>
      </c>
      <c r="G273" s="88" t="s">
        <v>721</v>
      </c>
    </row>
    <row r="274" spans="1:11" s="77" customFormat="1" ht="15" hidden="1" customHeight="1">
      <c r="A274" s="83">
        <v>45902</v>
      </c>
      <c r="B274" s="84" t="s">
        <v>523</v>
      </c>
      <c r="C274" s="77" t="s">
        <v>717</v>
      </c>
      <c r="D274" s="85" t="s">
        <v>718</v>
      </c>
      <c r="E274" s="86" t="s">
        <v>772</v>
      </c>
      <c r="F274" s="89" t="s">
        <v>728</v>
      </c>
      <c r="G274" s="88" t="s">
        <v>721</v>
      </c>
    </row>
    <row r="275" spans="1:11" s="77" customFormat="1" ht="15" hidden="1" customHeight="1">
      <c r="A275" s="83">
        <v>45902</v>
      </c>
      <c r="B275" s="84" t="s">
        <v>618</v>
      </c>
      <c r="C275" s="77" t="s">
        <v>717</v>
      </c>
      <c r="D275" s="86" t="s">
        <v>726</v>
      </c>
      <c r="E275" s="95" t="s">
        <v>727</v>
      </c>
      <c r="F275" s="89" t="s">
        <v>728</v>
      </c>
      <c r="G275" s="88" t="s">
        <v>721</v>
      </c>
    </row>
    <row r="276" spans="1:11" s="77" customFormat="1" ht="15" hidden="1" customHeight="1">
      <c r="A276" s="83">
        <v>45902</v>
      </c>
      <c r="B276" s="84" t="s">
        <v>618</v>
      </c>
      <c r="C276" s="77" t="s">
        <v>717</v>
      </c>
      <c r="D276" s="86" t="s">
        <v>726</v>
      </c>
      <c r="E276" s="96" t="s">
        <v>729</v>
      </c>
      <c r="F276" s="89" t="s">
        <v>728</v>
      </c>
      <c r="G276" s="88" t="s">
        <v>721</v>
      </c>
    </row>
    <row r="277" spans="1:11" s="77" customFormat="1" ht="15" hidden="1" customHeight="1">
      <c r="A277" s="83">
        <v>45902</v>
      </c>
      <c r="B277" s="84" t="s">
        <v>618</v>
      </c>
      <c r="C277" s="77" t="s">
        <v>717</v>
      </c>
      <c r="D277" s="86" t="s">
        <v>726</v>
      </c>
      <c r="E277" s="96" t="s">
        <v>730</v>
      </c>
      <c r="F277" s="89" t="s">
        <v>728</v>
      </c>
      <c r="G277" s="88" t="s">
        <v>721</v>
      </c>
    </row>
    <row r="278" spans="1:11" ht="15" customHeight="1">
      <c r="A278" s="90">
        <v>45902</v>
      </c>
      <c r="B278" s="91" t="s">
        <v>518</v>
      </c>
      <c r="C278" s="78" t="s">
        <v>717</v>
      </c>
      <c r="D278" s="91" t="s">
        <v>726</v>
      </c>
      <c r="E278" s="78" t="s">
        <v>730</v>
      </c>
      <c r="F278" s="93" t="s">
        <v>782</v>
      </c>
      <c r="G278" s="94">
        <v>1846963</v>
      </c>
      <c r="H278" s="78" t="s">
        <v>354</v>
      </c>
      <c r="I278" s="78" t="s">
        <v>774</v>
      </c>
      <c r="J278" s="78" t="s">
        <v>783</v>
      </c>
      <c r="K278" s="78" t="s">
        <v>354</v>
      </c>
    </row>
    <row r="279" spans="1:11" s="77" customFormat="1" ht="15" hidden="1" customHeight="1">
      <c r="A279" s="83">
        <v>45902</v>
      </c>
      <c r="B279" s="84" t="s">
        <v>618</v>
      </c>
      <c r="C279" s="77" t="s">
        <v>717</v>
      </c>
      <c r="D279" s="86" t="s">
        <v>726</v>
      </c>
      <c r="E279" s="96" t="s">
        <v>732</v>
      </c>
      <c r="F279" s="89" t="s">
        <v>728</v>
      </c>
      <c r="G279" s="88" t="s">
        <v>721</v>
      </c>
    </row>
    <row r="280" spans="1:11" s="77" customFormat="1" ht="15" hidden="1" customHeight="1">
      <c r="A280" s="83">
        <v>45902</v>
      </c>
      <c r="B280" s="84" t="s">
        <v>618</v>
      </c>
      <c r="C280" s="77" t="s">
        <v>717</v>
      </c>
      <c r="D280" s="86" t="s">
        <v>726</v>
      </c>
      <c r="E280" s="96" t="s">
        <v>733</v>
      </c>
      <c r="F280" s="89" t="s">
        <v>728</v>
      </c>
      <c r="G280" s="88" t="s">
        <v>721</v>
      </c>
    </row>
    <row r="281" spans="1:11" s="77" customFormat="1" ht="15" hidden="1" customHeight="1">
      <c r="A281" s="83">
        <v>45902</v>
      </c>
      <c r="B281" s="84" t="s">
        <v>618</v>
      </c>
      <c r="C281" s="77" t="s">
        <v>717</v>
      </c>
      <c r="D281" s="86" t="s">
        <v>726</v>
      </c>
      <c r="E281" s="96" t="s">
        <v>734</v>
      </c>
      <c r="F281" s="89" t="s">
        <v>728</v>
      </c>
      <c r="G281" s="88" t="s">
        <v>721</v>
      </c>
    </row>
    <row r="282" spans="1:11" s="77" customFormat="1" ht="15" hidden="1" customHeight="1">
      <c r="A282" s="83">
        <v>45902</v>
      </c>
      <c r="B282" s="84" t="s">
        <v>518</v>
      </c>
      <c r="C282" s="77" t="s">
        <v>717</v>
      </c>
      <c r="D282" s="85" t="s">
        <v>758</v>
      </c>
      <c r="E282" s="96" t="s">
        <v>764</v>
      </c>
      <c r="F282" s="87" t="s">
        <v>720</v>
      </c>
      <c r="G282" s="88" t="s">
        <v>721</v>
      </c>
    </row>
    <row r="283" spans="1:11" s="77" customFormat="1" ht="15" hidden="1" customHeight="1">
      <c r="A283" s="83">
        <v>45902</v>
      </c>
      <c r="B283" s="84" t="s">
        <v>618</v>
      </c>
      <c r="C283" s="77" t="s">
        <v>717</v>
      </c>
      <c r="D283" s="86" t="s">
        <v>736</v>
      </c>
      <c r="E283" s="96" t="s">
        <v>737</v>
      </c>
      <c r="F283" s="89" t="s">
        <v>728</v>
      </c>
      <c r="G283" s="88" t="s">
        <v>721</v>
      </c>
    </row>
    <row r="284" spans="1:11" s="77" customFormat="1" ht="15" hidden="1" customHeight="1">
      <c r="A284" s="83">
        <v>45902</v>
      </c>
      <c r="B284" s="84" t="s">
        <v>618</v>
      </c>
      <c r="C284" s="77" t="s">
        <v>717</v>
      </c>
      <c r="D284" s="86" t="s">
        <v>736</v>
      </c>
      <c r="E284" s="96" t="s">
        <v>738</v>
      </c>
      <c r="F284" s="89" t="s">
        <v>728</v>
      </c>
      <c r="G284" s="88" t="s">
        <v>721</v>
      </c>
    </row>
    <row r="285" spans="1:11" s="77" customFormat="1" ht="15" hidden="1" customHeight="1">
      <c r="A285" s="83">
        <v>45902</v>
      </c>
      <c r="B285" s="84" t="s">
        <v>618</v>
      </c>
      <c r="C285" s="77" t="s">
        <v>717</v>
      </c>
      <c r="D285" s="85" t="s">
        <v>739</v>
      </c>
      <c r="E285" s="96" t="s">
        <v>740</v>
      </c>
      <c r="F285" s="89" t="s">
        <v>742</v>
      </c>
      <c r="G285" s="88" t="s">
        <v>721</v>
      </c>
    </row>
    <row r="286" spans="1:11" s="77" customFormat="1" ht="15" hidden="1" customHeight="1">
      <c r="A286" s="83">
        <v>45902</v>
      </c>
      <c r="B286" s="84" t="s">
        <v>618</v>
      </c>
      <c r="C286" s="77" t="s">
        <v>717</v>
      </c>
      <c r="D286" s="85" t="s">
        <v>739</v>
      </c>
      <c r="E286" s="96" t="s">
        <v>741</v>
      </c>
      <c r="F286" s="89" t="s">
        <v>728</v>
      </c>
      <c r="G286" s="88" t="s">
        <v>721</v>
      </c>
    </row>
    <row r="287" spans="1:11" s="77" customFormat="1" ht="15" hidden="1" customHeight="1">
      <c r="A287" s="83">
        <v>45902</v>
      </c>
      <c r="B287" s="84" t="s">
        <v>618</v>
      </c>
      <c r="C287" s="77" t="s">
        <v>717</v>
      </c>
      <c r="D287" s="85" t="s">
        <v>739</v>
      </c>
      <c r="E287" s="96" t="s">
        <v>743</v>
      </c>
      <c r="F287" s="89" t="s">
        <v>728</v>
      </c>
      <c r="G287" s="88" t="s">
        <v>721</v>
      </c>
    </row>
    <row r="288" spans="1:11" s="77" customFormat="1" ht="15" hidden="1" customHeight="1">
      <c r="A288" s="83">
        <v>45902</v>
      </c>
      <c r="B288" s="84" t="s">
        <v>618</v>
      </c>
      <c r="C288" s="77" t="s">
        <v>717</v>
      </c>
      <c r="D288" s="85" t="s">
        <v>744</v>
      </c>
      <c r="E288" s="96" t="s">
        <v>745</v>
      </c>
      <c r="F288" s="89" t="s">
        <v>728</v>
      </c>
      <c r="G288" s="88" t="s">
        <v>721</v>
      </c>
    </row>
    <row r="289" spans="1:7" s="77" customFormat="1" ht="15" hidden="1" customHeight="1">
      <c r="A289" s="83">
        <v>45902</v>
      </c>
      <c r="B289" s="84" t="s">
        <v>618</v>
      </c>
      <c r="C289" s="77" t="s">
        <v>717</v>
      </c>
      <c r="D289" s="85" t="s">
        <v>744</v>
      </c>
      <c r="E289" s="96" t="s">
        <v>746</v>
      </c>
      <c r="F289" s="89" t="s">
        <v>721</v>
      </c>
      <c r="G289" s="88" t="s">
        <v>721</v>
      </c>
    </row>
    <row r="290" spans="1:7" s="77" customFormat="1" ht="15" hidden="1" customHeight="1">
      <c r="A290" s="83">
        <v>45902</v>
      </c>
      <c r="B290" s="84" t="s">
        <v>618</v>
      </c>
      <c r="C290" s="77" t="s">
        <v>717</v>
      </c>
      <c r="D290" s="85" t="s">
        <v>744</v>
      </c>
      <c r="E290" s="96" t="s">
        <v>747</v>
      </c>
      <c r="F290" s="89" t="s">
        <v>721</v>
      </c>
      <c r="G290" s="88" t="s">
        <v>721</v>
      </c>
    </row>
    <row r="291" spans="1:7" s="77" customFormat="1" ht="15" hidden="1" customHeight="1">
      <c r="A291" s="83">
        <v>45902</v>
      </c>
      <c r="B291" s="84" t="s">
        <v>618</v>
      </c>
      <c r="C291" s="77" t="s">
        <v>717</v>
      </c>
      <c r="D291" s="85" t="s">
        <v>744</v>
      </c>
      <c r="E291" s="96" t="s">
        <v>748</v>
      </c>
      <c r="F291" s="89" t="s">
        <v>728</v>
      </c>
      <c r="G291" s="88" t="s">
        <v>721</v>
      </c>
    </row>
    <row r="292" spans="1:7" s="77" customFormat="1" ht="15" hidden="1" customHeight="1">
      <c r="A292" s="83">
        <v>45902</v>
      </c>
      <c r="B292" s="84" t="s">
        <v>618</v>
      </c>
      <c r="C292" s="77" t="s">
        <v>717</v>
      </c>
      <c r="D292" s="85" t="s">
        <v>744</v>
      </c>
      <c r="E292" s="96" t="s">
        <v>749</v>
      </c>
      <c r="F292" s="89" t="s">
        <v>728</v>
      </c>
      <c r="G292" s="88" t="s">
        <v>721</v>
      </c>
    </row>
    <row r="293" spans="1:7" s="77" customFormat="1" ht="15" hidden="1" customHeight="1">
      <c r="A293" s="83">
        <v>45902</v>
      </c>
      <c r="B293" s="84" t="s">
        <v>618</v>
      </c>
      <c r="C293" s="77" t="s">
        <v>717</v>
      </c>
      <c r="D293" s="85" t="s">
        <v>750</v>
      </c>
      <c r="E293" s="96" t="s">
        <v>751</v>
      </c>
      <c r="F293" s="89" t="s">
        <v>728</v>
      </c>
      <c r="G293" s="88" t="s">
        <v>721</v>
      </c>
    </row>
    <row r="294" spans="1:7" s="77" customFormat="1" ht="15" hidden="1" customHeight="1">
      <c r="A294" s="83">
        <v>45902</v>
      </c>
      <c r="B294" s="84" t="s">
        <v>618</v>
      </c>
      <c r="C294" s="77" t="s">
        <v>717</v>
      </c>
      <c r="D294" s="85" t="s">
        <v>750</v>
      </c>
      <c r="E294" s="96" t="s">
        <v>752</v>
      </c>
      <c r="F294" s="89" t="s">
        <v>728</v>
      </c>
      <c r="G294" s="88" t="s">
        <v>721</v>
      </c>
    </row>
    <row r="295" spans="1:7" s="77" customFormat="1" ht="15" hidden="1" customHeight="1">
      <c r="A295" s="83">
        <v>45902</v>
      </c>
      <c r="B295" s="84" t="s">
        <v>618</v>
      </c>
      <c r="C295" s="77" t="s">
        <v>717</v>
      </c>
      <c r="D295" s="85" t="s">
        <v>750</v>
      </c>
      <c r="E295" s="96" t="s">
        <v>753</v>
      </c>
      <c r="F295" s="89" t="s">
        <v>728</v>
      </c>
      <c r="G295" s="88" t="s">
        <v>721</v>
      </c>
    </row>
    <row r="296" spans="1:7" s="77" customFormat="1" ht="15" hidden="1" customHeight="1">
      <c r="A296" s="83">
        <v>45902</v>
      </c>
      <c r="B296" s="84" t="s">
        <v>618</v>
      </c>
      <c r="C296" s="77" t="s">
        <v>717</v>
      </c>
      <c r="D296" s="85" t="s">
        <v>750</v>
      </c>
      <c r="E296" s="96" t="s">
        <v>754</v>
      </c>
      <c r="F296" s="89" t="s">
        <v>728</v>
      </c>
      <c r="G296" s="88" t="s">
        <v>721</v>
      </c>
    </row>
    <row r="297" spans="1:7" s="77" customFormat="1" ht="15" hidden="1" customHeight="1">
      <c r="A297" s="83">
        <v>45902</v>
      </c>
      <c r="B297" s="84" t="s">
        <v>618</v>
      </c>
      <c r="C297" s="77" t="s">
        <v>717</v>
      </c>
      <c r="D297" s="85" t="s">
        <v>755</v>
      </c>
      <c r="E297" s="86" t="s">
        <v>756</v>
      </c>
      <c r="F297" s="89" t="s">
        <v>728</v>
      </c>
      <c r="G297" s="88" t="s">
        <v>721</v>
      </c>
    </row>
    <row r="298" spans="1:7" s="77" customFormat="1" ht="15" hidden="1" customHeight="1">
      <c r="A298" s="83">
        <v>45902</v>
      </c>
      <c r="B298" s="84" t="s">
        <v>618</v>
      </c>
      <c r="C298" s="77" t="s">
        <v>717</v>
      </c>
      <c r="D298" s="85" t="s">
        <v>755</v>
      </c>
      <c r="E298" s="96" t="s">
        <v>757</v>
      </c>
      <c r="F298" s="89" t="s">
        <v>728</v>
      </c>
      <c r="G298" s="88" t="s">
        <v>721</v>
      </c>
    </row>
    <row r="299" spans="1:7" s="77" customFormat="1" ht="15" hidden="1" customHeight="1">
      <c r="A299" s="83">
        <v>45902</v>
      </c>
      <c r="B299" s="84" t="s">
        <v>618</v>
      </c>
      <c r="C299" s="77" t="s">
        <v>717</v>
      </c>
      <c r="D299" s="85" t="s">
        <v>758</v>
      </c>
      <c r="E299" s="96" t="s">
        <v>759</v>
      </c>
      <c r="F299" s="89" t="s">
        <v>728</v>
      </c>
      <c r="G299" s="88" t="s">
        <v>721</v>
      </c>
    </row>
    <row r="300" spans="1:7" s="77" customFormat="1" ht="15" hidden="1" customHeight="1">
      <c r="A300" s="83">
        <v>45902</v>
      </c>
      <c r="B300" s="84" t="s">
        <v>618</v>
      </c>
      <c r="C300" s="77" t="s">
        <v>717</v>
      </c>
      <c r="D300" s="85" t="s">
        <v>758</v>
      </c>
      <c r="E300" s="96" t="s">
        <v>760</v>
      </c>
      <c r="F300" s="89" t="s">
        <v>728</v>
      </c>
      <c r="G300" s="88" t="s">
        <v>721</v>
      </c>
    </row>
    <row r="301" spans="1:7" s="77" customFormat="1" ht="15" hidden="1" customHeight="1">
      <c r="A301" s="83">
        <v>45902</v>
      </c>
      <c r="B301" s="84" t="s">
        <v>618</v>
      </c>
      <c r="C301" s="77" t="s">
        <v>717</v>
      </c>
      <c r="D301" s="85" t="s">
        <v>758</v>
      </c>
      <c r="E301" s="96" t="s">
        <v>761</v>
      </c>
      <c r="F301" s="89" t="s">
        <v>728</v>
      </c>
      <c r="G301" s="88" t="s">
        <v>721</v>
      </c>
    </row>
    <row r="302" spans="1:7" s="77" customFormat="1" ht="15" hidden="1" customHeight="1">
      <c r="A302" s="83">
        <v>45902</v>
      </c>
      <c r="B302" s="84" t="s">
        <v>618</v>
      </c>
      <c r="C302" s="77" t="s">
        <v>717</v>
      </c>
      <c r="D302" s="85" t="s">
        <v>758</v>
      </c>
      <c r="E302" s="96" t="s">
        <v>762</v>
      </c>
      <c r="F302" s="89" t="s">
        <v>728</v>
      </c>
      <c r="G302" s="88" t="s">
        <v>721</v>
      </c>
    </row>
    <row r="303" spans="1:7" s="77" customFormat="1" ht="15" hidden="1" customHeight="1">
      <c r="A303" s="83">
        <v>45902</v>
      </c>
      <c r="B303" s="84" t="s">
        <v>618</v>
      </c>
      <c r="C303" s="77" t="s">
        <v>717</v>
      </c>
      <c r="D303" s="85" t="s">
        <v>758</v>
      </c>
      <c r="E303" s="96" t="s">
        <v>763</v>
      </c>
      <c r="F303" s="89" t="s">
        <v>728</v>
      </c>
      <c r="G303" s="88" t="s">
        <v>721</v>
      </c>
    </row>
    <row r="304" spans="1:7" s="77" customFormat="1" ht="15" hidden="1" customHeight="1">
      <c r="A304" s="83">
        <v>45902</v>
      </c>
      <c r="B304" s="84" t="s">
        <v>523</v>
      </c>
      <c r="C304" s="77" t="s">
        <v>717</v>
      </c>
      <c r="D304" s="85" t="s">
        <v>758</v>
      </c>
      <c r="E304" s="96" t="s">
        <v>764</v>
      </c>
      <c r="F304" s="87" t="s">
        <v>720</v>
      </c>
      <c r="G304" s="88" t="s">
        <v>721</v>
      </c>
    </row>
    <row r="305" spans="1:11" s="77" customFormat="1" ht="15" hidden="1" customHeight="1">
      <c r="A305" s="83">
        <v>45902</v>
      </c>
      <c r="B305" s="84" t="s">
        <v>618</v>
      </c>
      <c r="C305" s="77" t="s">
        <v>717</v>
      </c>
      <c r="D305" s="85" t="s">
        <v>718</v>
      </c>
      <c r="E305" s="86" t="s">
        <v>719</v>
      </c>
      <c r="F305" s="89" t="s">
        <v>728</v>
      </c>
      <c r="G305" s="88" t="s">
        <v>721</v>
      </c>
    </row>
    <row r="306" spans="1:11" s="77" customFormat="1" ht="15" hidden="1" customHeight="1">
      <c r="A306" s="83">
        <v>45902</v>
      </c>
      <c r="B306" s="84" t="s">
        <v>618</v>
      </c>
      <c r="C306" s="77" t="s">
        <v>717</v>
      </c>
      <c r="D306" s="85" t="s">
        <v>718</v>
      </c>
      <c r="E306" s="86" t="s">
        <v>765</v>
      </c>
      <c r="F306" s="89" t="s">
        <v>728</v>
      </c>
      <c r="G306" s="88" t="s">
        <v>721</v>
      </c>
    </row>
    <row r="307" spans="1:11" s="77" customFormat="1" ht="15" hidden="1" customHeight="1">
      <c r="A307" s="83">
        <v>45902</v>
      </c>
      <c r="B307" s="84" t="s">
        <v>618</v>
      </c>
      <c r="C307" s="77" t="s">
        <v>717</v>
      </c>
      <c r="D307" s="85" t="s">
        <v>718</v>
      </c>
      <c r="E307" s="86" t="s">
        <v>766</v>
      </c>
      <c r="F307" s="89" t="s">
        <v>728</v>
      </c>
      <c r="G307" s="88" t="s">
        <v>721</v>
      </c>
    </row>
    <row r="308" spans="1:11" s="77" customFormat="1" ht="15" hidden="1" customHeight="1">
      <c r="A308" s="83">
        <v>45902</v>
      </c>
      <c r="B308" s="84" t="s">
        <v>618</v>
      </c>
      <c r="C308" s="77" t="s">
        <v>717</v>
      </c>
      <c r="D308" s="85" t="s">
        <v>718</v>
      </c>
      <c r="E308" s="86" t="s">
        <v>767</v>
      </c>
      <c r="F308" s="89" t="s">
        <v>728</v>
      </c>
      <c r="G308" s="88" t="s">
        <v>721</v>
      </c>
    </row>
    <row r="309" spans="1:11" s="77" customFormat="1" ht="15" hidden="1" customHeight="1">
      <c r="A309" s="83">
        <v>45902</v>
      </c>
      <c r="B309" s="84" t="s">
        <v>618</v>
      </c>
      <c r="C309" s="77" t="s">
        <v>717</v>
      </c>
      <c r="D309" s="85" t="s">
        <v>718</v>
      </c>
      <c r="E309" s="86" t="s">
        <v>768</v>
      </c>
      <c r="F309" s="89" t="s">
        <v>728</v>
      </c>
      <c r="G309" s="88" t="s">
        <v>721</v>
      </c>
    </row>
    <row r="310" spans="1:11" s="77" customFormat="1" ht="15" hidden="1" customHeight="1">
      <c r="A310" s="83">
        <v>45902</v>
      </c>
      <c r="B310" s="84" t="s">
        <v>618</v>
      </c>
      <c r="C310" s="77" t="s">
        <v>717</v>
      </c>
      <c r="D310" s="85" t="s">
        <v>718</v>
      </c>
      <c r="E310" s="86" t="s">
        <v>769</v>
      </c>
      <c r="F310" s="89" t="s">
        <v>728</v>
      </c>
      <c r="G310" s="88" t="s">
        <v>721</v>
      </c>
    </row>
    <row r="311" spans="1:11" s="77" customFormat="1" ht="15" hidden="1" customHeight="1">
      <c r="A311" s="83">
        <v>45902</v>
      </c>
      <c r="B311" s="84" t="s">
        <v>618</v>
      </c>
      <c r="C311" s="77" t="s">
        <v>717</v>
      </c>
      <c r="D311" s="85" t="s">
        <v>718</v>
      </c>
      <c r="E311" s="86" t="s">
        <v>770</v>
      </c>
      <c r="F311" s="89" t="s">
        <v>728</v>
      </c>
      <c r="G311" s="88" t="s">
        <v>721</v>
      </c>
    </row>
    <row r="312" spans="1:11" s="77" customFormat="1" ht="15" hidden="1" customHeight="1">
      <c r="A312" s="83">
        <v>45902</v>
      </c>
      <c r="B312" s="84" t="s">
        <v>618</v>
      </c>
      <c r="C312" s="77" t="s">
        <v>717</v>
      </c>
      <c r="D312" s="85" t="s">
        <v>718</v>
      </c>
      <c r="E312" s="86" t="s">
        <v>771</v>
      </c>
      <c r="F312" s="89" t="s">
        <v>728</v>
      </c>
      <c r="G312" s="88" t="s">
        <v>721</v>
      </c>
    </row>
    <row r="313" spans="1:11" s="77" customFormat="1" ht="15" hidden="1" customHeight="1">
      <c r="A313" s="83">
        <v>45902</v>
      </c>
      <c r="B313" s="84" t="s">
        <v>618</v>
      </c>
      <c r="C313" s="77" t="s">
        <v>717</v>
      </c>
      <c r="D313" s="85" t="s">
        <v>718</v>
      </c>
      <c r="E313" s="86" t="s">
        <v>772</v>
      </c>
      <c r="F313" s="89" t="s">
        <v>728</v>
      </c>
      <c r="G313" s="88" t="s">
        <v>721</v>
      </c>
    </row>
    <row r="314" spans="1:11" s="77" customFormat="1" ht="15" hidden="1" customHeight="1">
      <c r="A314" s="83">
        <v>45902</v>
      </c>
      <c r="B314" s="84" t="s">
        <v>517</v>
      </c>
      <c r="C314" s="77" t="s">
        <v>717</v>
      </c>
      <c r="D314" s="86" t="s">
        <v>726</v>
      </c>
      <c r="E314" s="95" t="s">
        <v>727</v>
      </c>
      <c r="F314" s="89" t="s">
        <v>728</v>
      </c>
      <c r="G314" s="88" t="s">
        <v>721</v>
      </c>
    </row>
    <row r="315" spans="1:11" s="77" customFormat="1" ht="15" hidden="1" customHeight="1">
      <c r="A315" s="83">
        <v>45902</v>
      </c>
      <c r="B315" s="84" t="s">
        <v>517</v>
      </c>
      <c r="C315" s="77" t="s">
        <v>717</v>
      </c>
      <c r="D315" s="86" t="s">
        <v>726</v>
      </c>
      <c r="E315" s="96" t="s">
        <v>729</v>
      </c>
      <c r="F315" s="89" t="s">
        <v>728</v>
      </c>
      <c r="G315" s="88" t="s">
        <v>721</v>
      </c>
    </row>
    <row r="316" spans="1:11" s="77" customFormat="1" ht="15" hidden="1" customHeight="1">
      <c r="A316" s="83">
        <v>45902</v>
      </c>
      <c r="B316" s="84" t="s">
        <v>517</v>
      </c>
      <c r="C316" s="77" t="s">
        <v>717</v>
      </c>
      <c r="D316" s="86" t="s">
        <v>726</v>
      </c>
      <c r="E316" s="96" t="s">
        <v>730</v>
      </c>
      <c r="F316" s="89" t="s">
        <v>728</v>
      </c>
      <c r="G316" s="88" t="s">
        <v>721</v>
      </c>
    </row>
    <row r="317" spans="1:11" s="77" customFormat="1" ht="15" hidden="1" customHeight="1">
      <c r="A317" s="83">
        <v>45902</v>
      </c>
      <c r="B317" s="84" t="s">
        <v>517</v>
      </c>
      <c r="C317" s="77" t="s">
        <v>717</v>
      </c>
      <c r="D317" s="86" t="s">
        <v>726</v>
      </c>
      <c r="E317" s="96" t="s">
        <v>731</v>
      </c>
      <c r="F317" s="89" t="s">
        <v>728</v>
      </c>
      <c r="G317" s="88" t="s">
        <v>721</v>
      </c>
    </row>
    <row r="318" spans="1:11" ht="15" customHeight="1">
      <c r="A318" s="90">
        <v>45902</v>
      </c>
      <c r="B318" s="91" t="s">
        <v>618</v>
      </c>
      <c r="C318" s="78" t="s">
        <v>717</v>
      </c>
      <c r="D318" s="91" t="s">
        <v>726</v>
      </c>
      <c r="E318" s="78" t="s">
        <v>731</v>
      </c>
      <c r="F318" s="93" t="s">
        <v>784</v>
      </c>
      <c r="G318" s="94">
        <v>1851050</v>
      </c>
      <c r="H318" s="78" t="s">
        <v>354</v>
      </c>
      <c r="I318" s="78" t="s">
        <v>774</v>
      </c>
      <c r="J318" s="78" t="s">
        <v>779</v>
      </c>
      <c r="K318" s="78" t="s">
        <v>354</v>
      </c>
    </row>
    <row r="319" spans="1:11" s="77" customFormat="1" ht="15" hidden="1" customHeight="1">
      <c r="A319" s="83">
        <v>45902</v>
      </c>
      <c r="B319" s="84" t="s">
        <v>517</v>
      </c>
      <c r="C319" s="77" t="s">
        <v>717</v>
      </c>
      <c r="D319" s="86" t="s">
        <v>726</v>
      </c>
      <c r="E319" s="96" t="s">
        <v>733</v>
      </c>
      <c r="F319" s="89" t="s">
        <v>728</v>
      </c>
      <c r="G319" s="88" t="s">
        <v>721</v>
      </c>
    </row>
    <row r="320" spans="1:11" s="77" customFormat="1" ht="15" hidden="1" customHeight="1">
      <c r="A320" s="83">
        <v>45902</v>
      </c>
      <c r="B320" s="84" t="s">
        <v>517</v>
      </c>
      <c r="C320" s="77" t="s">
        <v>717</v>
      </c>
      <c r="D320" s="86" t="s">
        <v>726</v>
      </c>
      <c r="E320" s="96" t="s">
        <v>734</v>
      </c>
      <c r="F320" s="89" t="s">
        <v>728</v>
      </c>
      <c r="G320" s="88" t="s">
        <v>721</v>
      </c>
    </row>
    <row r="321" spans="1:7" s="77" customFormat="1" ht="15" hidden="1" customHeight="1">
      <c r="A321" s="83">
        <v>45902</v>
      </c>
      <c r="B321" s="84" t="s">
        <v>517</v>
      </c>
      <c r="C321" s="77" t="s">
        <v>717</v>
      </c>
      <c r="D321" s="86" t="s">
        <v>726</v>
      </c>
      <c r="E321" s="96" t="s">
        <v>735</v>
      </c>
      <c r="F321" s="89" t="s">
        <v>728</v>
      </c>
      <c r="G321" s="88" t="s">
        <v>721</v>
      </c>
    </row>
    <row r="322" spans="1:7" s="77" customFormat="1" ht="15" hidden="1" customHeight="1">
      <c r="A322" s="83">
        <v>45902</v>
      </c>
      <c r="B322" s="84" t="s">
        <v>517</v>
      </c>
      <c r="C322" s="77" t="s">
        <v>717</v>
      </c>
      <c r="D322" s="86" t="s">
        <v>736</v>
      </c>
      <c r="E322" s="96" t="s">
        <v>737</v>
      </c>
      <c r="F322" s="89" t="s">
        <v>728</v>
      </c>
      <c r="G322" s="88" t="s">
        <v>721</v>
      </c>
    </row>
    <row r="323" spans="1:7" s="77" customFormat="1" ht="15" hidden="1" customHeight="1">
      <c r="A323" s="83">
        <v>45902</v>
      </c>
      <c r="B323" s="84" t="s">
        <v>517</v>
      </c>
      <c r="C323" s="77" t="s">
        <v>717</v>
      </c>
      <c r="D323" s="86" t="s">
        <v>736</v>
      </c>
      <c r="E323" s="96" t="s">
        <v>738</v>
      </c>
      <c r="F323" s="89" t="s">
        <v>728</v>
      </c>
      <c r="G323" s="88" t="s">
        <v>721</v>
      </c>
    </row>
    <row r="324" spans="1:7" s="77" customFormat="1" ht="15" hidden="1" customHeight="1">
      <c r="A324" s="83">
        <v>45902</v>
      </c>
      <c r="B324" s="84" t="s">
        <v>517</v>
      </c>
      <c r="C324" s="77" t="s">
        <v>717</v>
      </c>
      <c r="D324" s="85" t="s">
        <v>739</v>
      </c>
      <c r="E324" s="96" t="s">
        <v>740</v>
      </c>
      <c r="F324" s="89" t="s">
        <v>742</v>
      </c>
      <c r="G324" s="88" t="s">
        <v>721</v>
      </c>
    </row>
    <row r="325" spans="1:7" s="77" customFormat="1" ht="15" hidden="1" customHeight="1">
      <c r="A325" s="83">
        <v>45902</v>
      </c>
      <c r="B325" s="84" t="s">
        <v>517</v>
      </c>
      <c r="C325" s="77" t="s">
        <v>717</v>
      </c>
      <c r="D325" s="85" t="s">
        <v>739</v>
      </c>
      <c r="E325" s="96" t="s">
        <v>741</v>
      </c>
      <c r="F325" s="89" t="s">
        <v>728</v>
      </c>
      <c r="G325" s="88" t="s">
        <v>721</v>
      </c>
    </row>
    <row r="326" spans="1:7" s="77" customFormat="1" ht="15" hidden="1" customHeight="1">
      <c r="A326" s="83">
        <v>45902</v>
      </c>
      <c r="B326" s="84" t="s">
        <v>517</v>
      </c>
      <c r="C326" s="77" t="s">
        <v>717</v>
      </c>
      <c r="D326" s="85" t="s">
        <v>739</v>
      </c>
      <c r="E326" s="96" t="s">
        <v>743</v>
      </c>
      <c r="F326" s="89" t="s">
        <v>728</v>
      </c>
      <c r="G326" s="88" t="s">
        <v>721</v>
      </c>
    </row>
    <row r="327" spans="1:7" s="77" customFormat="1" ht="15" hidden="1" customHeight="1">
      <c r="A327" s="83">
        <v>45902</v>
      </c>
      <c r="B327" s="84" t="s">
        <v>517</v>
      </c>
      <c r="C327" s="77" t="s">
        <v>717</v>
      </c>
      <c r="D327" s="85" t="s">
        <v>744</v>
      </c>
      <c r="E327" s="96" t="s">
        <v>745</v>
      </c>
      <c r="F327" s="89" t="s">
        <v>728</v>
      </c>
      <c r="G327" s="88" t="s">
        <v>721</v>
      </c>
    </row>
    <row r="328" spans="1:7" s="77" customFormat="1" ht="15" hidden="1" customHeight="1">
      <c r="A328" s="83">
        <v>45902</v>
      </c>
      <c r="B328" s="84" t="s">
        <v>517</v>
      </c>
      <c r="C328" s="77" t="s">
        <v>717</v>
      </c>
      <c r="D328" s="85" t="s">
        <v>744</v>
      </c>
      <c r="E328" s="96" t="s">
        <v>746</v>
      </c>
      <c r="F328" s="89" t="s">
        <v>721</v>
      </c>
      <c r="G328" s="88" t="s">
        <v>721</v>
      </c>
    </row>
    <row r="329" spans="1:7" s="77" customFormat="1" ht="15" hidden="1" customHeight="1">
      <c r="A329" s="83">
        <v>45902</v>
      </c>
      <c r="B329" s="84" t="s">
        <v>517</v>
      </c>
      <c r="C329" s="77" t="s">
        <v>717</v>
      </c>
      <c r="D329" s="85" t="s">
        <v>744</v>
      </c>
      <c r="E329" s="96" t="s">
        <v>747</v>
      </c>
      <c r="F329" s="89" t="s">
        <v>721</v>
      </c>
      <c r="G329" s="88" t="s">
        <v>721</v>
      </c>
    </row>
    <row r="330" spans="1:7" s="77" customFormat="1" ht="15" hidden="1" customHeight="1">
      <c r="A330" s="83">
        <v>45902</v>
      </c>
      <c r="B330" s="84" t="s">
        <v>517</v>
      </c>
      <c r="C330" s="77" t="s">
        <v>717</v>
      </c>
      <c r="D330" s="85" t="s">
        <v>744</v>
      </c>
      <c r="E330" s="96" t="s">
        <v>748</v>
      </c>
      <c r="F330" s="89" t="s">
        <v>728</v>
      </c>
      <c r="G330" s="88" t="s">
        <v>721</v>
      </c>
    </row>
    <row r="331" spans="1:7" s="77" customFormat="1" ht="15" hidden="1" customHeight="1">
      <c r="A331" s="83">
        <v>45902</v>
      </c>
      <c r="B331" s="84" t="s">
        <v>517</v>
      </c>
      <c r="C331" s="77" t="s">
        <v>717</v>
      </c>
      <c r="D331" s="85" t="s">
        <v>744</v>
      </c>
      <c r="E331" s="96" t="s">
        <v>749</v>
      </c>
      <c r="F331" s="89" t="s">
        <v>728</v>
      </c>
      <c r="G331" s="88" t="s">
        <v>721</v>
      </c>
    </row>
    <row r="332" spans="1:7" s="77" customFormat="1" ht="15" hidden="1" customHeight="1">
      <c r="A332" s="83">
        <v>45902</v>
      </c>
      <c r="B332" s="84" t="s">
        <v>517</v>
      </c>
      <c r="C332" s="77" t="s">
        <v>717</v>
      </c>
      <c r="D332" s="85" t="s">
        <v>750</v>
      </c>
      <c r="E332" s="96" t="s">
        <v>751</v>
      </c>
      <c r="F332" s="89" t="s">
        <v>728</v>
      </c>
      <c r="G332" s="88" t="s">
        <v>721</v>
      </c>
    </row>
    <row r="333" spans="1:7" s="77" customFormat="1" ht="15" hidden="1" customHeight="1">
      <c r="A333" s="83">
        <v>45902</v>
      </c>
      <c r="B333" s="84" t="s">
        <v>517</v>
      </c>
      <c r="C333" s="77" t="s">
        <v>717</v>
      </c>
      <c r="D333" s="85" t="s">
        <v>750</v>
      </c>
      <c r="E333" s="96" t="s">
        <v>752</v>
      </c>
      <c r="F333" s="89" t="s">
        <v>728</v>
      </c>
      <c r="G333" s="88" t="s">
        <v>721</v>
      </c>
    </row>
    <row r="334" spans="1:7" s="77" customFormat="1" ht="15" hidden="1" customHeight="1">
      <c r="A334" s="83">
        <v>45902</v>
      </c>
      <c r="B334" s="84" t="s">
        <v>517</v>
      </c>
      <c r="C334" s="77" t="s">
        <v>717</v>
      </c>
      <c r="D334" s="85" t="s">
        <v>750</v>
      </c>
      <c r="E334" s="96" t="s">
        <v>753</v>
      </c>
      <c r="F334" s="89" t="s">
        <v>728</v>
      </c>
      <c r="G334" s="88" t="s">
        <v>721</v>
      </c>
    </row>
    <row r="335" spans="1:7" s="78" customFormat="1" ht="15" customHeight="1">
      <c r="A335" s="90">
        <v>45902</v>
      </c>
      <c r="B335" s="91" t="s">
        <v>618</v>
      </c>
      <c r="C335" s="78" t="s">
        <v>717</v>
      </c>
      <c r="D335" s="91" t="s">
        <v>726</v>
      </c>
      <c r="E335" s="78" t="s">
        <v>735</v>
      </c>
      <c r="F335" s="93" t="s">
        <v>780</v>
      </c>
      <c r="G335" s="94"/>
    </row>
    <row r="336" spans="1:7" s="77" customFormat="1" ht="15" hidden="1" customHeight="1">
      <c r="A336" s="83">
        <v>45902</v>
      </c>
      <c r="B336" s="84" t="s">
        <v>517</v>
      </c>
      <c r="C336" s="77" t="s">
        <v>717</v>
      </c>
      <c r="D336" s="85" t="s">
        <v>755</v>
      </c>
      <c r="E336" s="86" t="s">
        <v>756</v>
      </c>
      <c r="F336" s="89" t="s">
        <v>728</v>
      </c>
      <c r="G336" s="88" t="s">
        <v>721</v>
      </c>
    </row>
    <row r="337" spans="1:7" s="77" customFormat="1" ht="15" hidden="1" customHeight="1">
      <c r="A337" s="83">
        <v>45902</v>
      </c>
      <c r="B337" s="84" t="s">
        <v>517</v>
      </c>
      <c r="C337" s="77" t="s">
        <v>717</v>
      </c>
      <c r="D337" s="85" t="s">
        <v>755</v>
      </c>
      <c r="E337" s="96" t="s">
        <v>757</v>
      </c>
      <c r="F337" s="89" t="s">
        <v>728</v>
      </c>
      <c r="G337" s="88" t="s">
        <v>721</v>
      </c>
    </row>
    <row r="338" spans="1:7" s="77" customFormat="1" ht="15" hidden="1" customHeight="1">
      <c r="A338" s="83">
        <v>45902</v>
      </c>
      <c r="B338" s="84" t="s">
        <v>517</v>
      </c>
      <c r="C338" s="77" t="s">
        <v>717</v>
      </c>
      <c r="D338" s="85" t="s">
        <v>758</v>
      </c>
      <c r="E338" s="96" t="s">
        <v>759</v>
      </c>
      <c r="F338" s="89" t="s">
        <v>728</v>
      </c>
      <c r="G338" s="88" t="s">
        <v>721</v>
      </c>
    </row>
    <row r="339" spans="1:7" s="77" customFormat="1" ht="15" hidden="1" customHeight="1">
      <c r="A339" s="83">
        <v>45902</v>
      </c>
      <c r="B339" s="84" t="s">
        <v>517</v>
      </c>
      <c r="C339" s="77" t="s">
        <v>717</v>
      </c>
      <c r="D339" s="85" t="s">
        <v>758</v>
      </c>
      <c r="E339" s="96" t="s">
        <v>760</v>
      </c>
      <c r="F339" s="89" t="s">
        <v>728</v>
      </c>
      <c r="G339" s="88" t="s">
        <v>721</v>
      </c>
    </row>
    <row r="340" spans="1:7" s="77" customFormat="1" ht="15" hidden="1" customHeight="1">
      <c r="A340" s="83">
        <v>45902</v>
      </c>
      <c r="B340" s="84" t="s">
        <v>517</v>
      </c>
      <c r="C340" s="77" t="s">
        <v>717</v>
      </c>
      <c r="D340" s="85" t="s">
        <v>758</v>
      </c>
      <c r="E340" s="96" t="s">
        <v>761</v>
      </c>
      <c r="F340" s="89" t="s">
        <v>728</v>
      </c>
      <c r="G340" s="88" t="s">
        <v>721</v>
      </c>
    </row>
    <row r="341" spans="1:7" s="77" customFormat="1" ht="15" hidden="1" customHeight="1">
      <c r="A341" s="83">
        <v>45902</v>
      </c>
      <c r="B341" s="84" t="s">
        <v>517</v>
      </c>
      <c r="C341" s="77" t="s">
        <v>717</v>
      </c>
      <c r="D341" s="85" t="s">
        <v>758</v>
      </c>
      <c r="E341" s="96" t="s">
        <v>762</v>
      </c>
      <c r="F341" s="89" t="s">
        <v>728</v>
      </c>
      <c r="G341" s="88" t="s">
        <v>721</v>
      </c>
    </row>
    <row r="342" spans="1:7" s="77" customFormat="1" ht="15" hidden="1" customHeight="1">
      <c r="A342" s="83">
        <v>45902</v>
      </c>
      <c r="B342" s="84" t="s">
        <v>517</v>
      </c>
      <c r="C342" s="77" t="s">
        <v>717</v>
      </c>
      <c r="D342" s="85" t="s">
        <v>758</v>
      </c>
      <c r="E342" s="96" t="s">
        <v>763</v>
      </c>
      <c r="F342" s="89" t="s">
        <v>728</v>
      </c>
      <c r="G342" s="88" t="s">
        <v>721</v>
      </c>
    </row>
    <row r="343" spans="1:7" s="77" customFormat="1" ht="15" hidden="1" customHeight="1">
      <c r="A343" s="83">
        <v>45902</v>
      </c>
      <c r="B343" s="84" t="s">
        <v>618</v>
      </c>
      <c r="C343" s="77" t="s">
        <v>717</v>
      </c>
      <c r="D343" s="85" t="s">
        <v>758</v>
      </c>
      <c r="E343" s="96" t="s">
        <v>764</v>
      </c>
      <c r="F343" s="87" t="s">
        <v>720</v>
      </c>
      <c r="G343" s="88" t="s">
        <v>721</v>
      </c>
    </row>
    <row r="344" spans="1:7" s="77" customFormat="1" ht="15" hidden="1" customHeight="1">
      <c r="A344" s="83">
        <v>45902</v>
      </c>
      <c r="B344" s="84" t="s">
        <v>517</v>
      </c>
      <c r="C344" s="77" t="s">
        <v>717</v>
      </c>
      <c r="D344" s="85" t="s">
        <v>718</v>
      </c>
      <c r="E344" s="86" t="s">
        <v>719</v>
      </c>
      <c r="F344" s="89" t="s">
        <v>728</v>
      </c>
      <c r="G344" s="88" t="s">
        <v>721</v>
      </c>
    </row>
    <row r="345" spans="1:7" s="77" customFormat="1" ht="15" hidden="1" customHeight="1">
      <c r="A345" s="83">
        <v>45902</v>
      </c>
      <c r="B345" s="84" t="s">
        <v>517</v>
      </c>
      <c r="C345" s="77" t="s">
        <v>717</v>
      </c>
      <c r="D345" s="85" t="s">
        <v>718</v>
      </c>
      <c r="E345" s="86" t="s">
        <v>765</v>
      </c>
      <c r="F345" s="89" t="s">
        <v>728</v>
      </c>
      <c r="G345" s="88" t="s">
        <v>721</v>
      </c>
    </row>
    <row r="346" spans="1:7" s="77" customFormat="1" ht="15" hidden="1" customHeight="1">
      <c r="A346" s="83">
        <v>45902</v>
      </c>
      <c r="B346" s="84" t="s">
        <v>517</v>
      </c>
      <c r="C346" s="77" t="s">
        <v>717</v>
      </c>
      <c r="D346" s="85" t="s">
        <v>718</v>
      </c>
      <c r="E346" s="86" t="s">
        <v>766</v>
      </c>
      <c r="F346" s="89" t="s">
        <v>728</v>
      </c>
      <c r="G346" s="88" t="s">
        <v>721</v>
      </c>
    </row>
    <row r="347" spans="1:7" s="77" customFormat="1" ht="15" hidden="1" customHeight="1">
      <c r="A347" s="83">
        <v>45902</v>
      </c>
      <c r="B347" s="84" t="s">
        <v>517</v>
      </c>
      <c r="C347" s="77" t="s">
        <v>717</v>
      </c>
      <c r="D347" s="85" t="s">
        <v>718</v>
      </c>
      <c r="E347" s="86" t="s">
        <v>767</v>
      </c>
      <c r="F347" s="89" t="s">
        <v>728</v>
      </c>
      <c r="G347" s="88" t="s">
        <v>721</v>
      </c>
    </row>
    <row r="348" spans="1:7" s="77" customFormat="1" ht="15" hidden="1" customHeight="1">
      <c r="A348" s="83">
        <v>45902</v>
      </c>
      <c r="B348" s="84" t="s">
        <v>517</v>
      </c>
      <c r="C348" s="77" t="s">
        <v>717</v>
      </c>
      <c r="D348" s="85" t="s">
        <v>718</v>
      </c>
      <c r="E348" s="86" t="s">
        <v>768</v>
      </c>
      <c r="F348" s="89" t="s">
        <v>728</v>
      </c>
      <c r="G348" s="88" t="s">
        <v>721</v>
      </c>
    </row>
    <row r="349" spans="1:7" s="77" customFormat="1" ht="15" hidden="1" customHeight="1">
      <c r="A349" s="83">
        <v>45902</v>
      </c>
      <c r="B349" s="84" t="s">
        <v>517</v>
      </c>
      <c r="C349" s="77" t="s">
        <v>717</v>
      </c>
      <c r="D349" s="85" t="s">
        <v>718</v>
      </c>
      <c r="E349" s="86" t="s">
        <v>769</v>
      </c>
      <c r="F349" s="89" t="s">
        <v>728</v>
      </c>
      <c r="G349" s="88" t="s">
        <v>721</v>
      </c>
    </row>
    <row r="350" spans="1:7" s="77" customFormat="1" ht="15" hidden="1" customHeight="1">
      <c r="A350" s="83">
        <v>45902</v>
      </c>
      <c r="B350" s="84" t="s">
        <v>517</v>
      </c>
      <c r="C350" s="77" t="s">
        <v>717</v>
      </c>
      <c r="D350" s="85" t="s">
        <v>718</v>
      </c>
      <c r="E350" s="86" t="s">
        <v>770</v>
      </c>
      <c r="F350" s="89" t="s">
        <v>728</v>
      </c>
      <c r="G350" s="88" t="s">
        <v>721</v>
      </c>
    </row>
    <row r="351" spans="1:7" s="77" customFormat="1" ht="15" hidden="1" customHeight="1">
      <c r="A351" s="83">
        <v>45902</v>
      </c>
      <c r="B351" s="84" t="s">
        <v>517</v>
      </c>
      <c r="C351" s="77" t="s">
        <v>717</v>
      </c>
      <c r="D351" s="85" t="s">
        <v>718</v>
      </c>
      <c r="E351" s="86" t="s">
        <v>771</v>
      </c>
      <c r="F351" s="89" t="s">
        <v>728</v>
      </c>
      <c r="G351" s="88" t="s">
        <v>721</v>
      </c>
    </row>
    <row r="352" spans="1:7" s="77" customFormat="1" ht="15" hidden="1" customHeight="1">
      <c r="A352" s="83">
        <v>45902</v>
      </c>
      <c r="B352" s="84" t="s">
        <v>517</v>
      </c>
      <c r="C352" s="77" t="s">
        <v>717</v>
      </c>
      <c r="D352" s="85" t="s">
        <v>718</v>
      </c>
      <c r="E352" s="86" t="s">
        <v>772</v>
      </c>
      <c r="F352" s="89" t="s">
        <v>728</v>
      </c>
      <c r="G352" s="88" t="s">
        <v>721</v>
      </c>
    </row>
    <row r="353" spans="1:7" s="77" customFormat="1" ht="15" hidden="1" customHeight="1">
      <c r="A353" s="83">
        <v>45902</v>
      </c>
      <c r="B353" s="84" t="s">
        <v>512</v>
      </c>
      <c r="C353" s="77" t="s">
        <v>717</v>
      </c>
      <c r="D353" s="86" t="s">
        <v>726</v>
      </c>
      <c r="E353" s="95" t="s">
        <v>727</v>
      </c>
      <c r="F353" s="89" t="s">
        <v>728</v>
      </c>
      <c r="G353" s="88" t="s">
        <v>721</v>
      </c>
    </row>
    <row r="354" spans="1:7" s="77" customFormat="1" ht="15" hidden="1" customHeight="1">
      <c r="A354" s="83">
        <v>45902</v>
      </c>
      <c r="B354" s="84" t="s">
        <v>512</v>
      </c>
      <c r="C354" s="77" t="s">
        <v>717</v>
      </c>
      <c r="D354" s="86" t="s">
        <v>726</v>
      </c>
      <c r="E354" s="96" t="s">
        <v>729</v>
      </c>
      <c r="F354" s="89" t="s">
        <v>728</v>
      </c>
      <c r="G354" s="88" t="s">
        <v>721</v>
      </c>
    </row>
    <row r="355" spans="1:7" s="77" customFormat="1" ht="15" hidden="1" customHeight="1">
      <c r="A355" s="83">
        <v>45902</v>
      </c>
      <c r="B355" s="84" t="s">
        <v>512</v>
      </c>
      <c r="C355" s="77" t="s">
        <v>717</v>
      </c>
      <c r="D355" s="86" t="s">
        <v>726</v>
      </c>
      <c r="E355" s="96" t="s">
        <v>730</v>
      </c>
      <c r="F355" s="89" t="s">
        <v>728</v>
      </c>
      <c r="G355" s="88" t="s">
        <v>721</v>
      </c>
    </row>
    <row r="356" spans="1:7" s="77" customFormat="1" ht="15" hidden="1" customHeight="1">
      <c r="A356" s="83">
        <v>45902</v>
      </c>
      <c r="B356" s="84" t="s">
        <v>512</v>
      </c>
      <c r="C356" s="77" t="s">
        <v>717</v>
      </c>
      <c r="D356" s="86" t="s">
        <v>726</v>
      </c>
      <c r="E356" s="96" t="s">
        <v>731</v>
      </c>
      <c r="F356" s="89" t="s">
        <v>728</v>
      </c>
      <c r="G356" s="88" t="s">
        <v>721</v>
      </c>
    </row>
    <row r="357" spans="1:7" s="77" customFormat="1" ht="15" hidden="1" customHeight="1">
      <c r="A357" s="83">
        <v>45902</v>
      </c>
      <c r="B357" s="84" t="s">
        <v>512</v>
      </c>
      <c r="C357" s="77" t="s">
        <v>717</v>
      </c>
      <c r="D357" s="86" t="s">
        <v>726</v>
      </c>
      <c r="E357" s="96" t="s">
        <v>732</v>
      </c>
      <c r="F357" s="89" t="s">
        <v>728</v>
      </c>
      <c r="G357" s="88" t="s">
        <v>721</v>
      </c>
    </row>
    <row r="358" spans="1:7" s="77" customFormat="1" ht="15" hidden="1" customHeight="1">
      <c r="A358" s="83">
        <v>45902</v>
      </c>
      <c r="B358" s="84" t="s">
        <v>512</v>
      </c>
      <c r="C358" s="77" t="s">
        <v>717</v>
      </c>
      <c r="D358" s="86" t="s">
        <v>726</v>
      </c>
      <c r="E358" s="96" t="s">
        <v>733</v>
      </c>
      <c r="F358" s="89" t="s">
        <v>728</v>
      </c>
      <c r="G358" s="88" t="s">
        <v>721</v>
      </c>
    </row>
    <row r="359" spans="1:7" s="77" customFormat="1" ht="15" hidden="1" customHeight="1">
      <c r="A359" s="83">
        <v>45902</v>
      </c>
      <c r="B359" s="84" t="s">
        <v>512</v>
      </c>
      <c r="C359" s="77" t="s">
        <v>717</v>
      </c>
      <c r="D359" s="86" t="s">
        <v>726</v>
      </c>
      <c r="E359" s="96" t="s">
        <v>734</v>
      </c>
      <c r="F359" s="89" t="s">
        <v>728</v>
      </c>
      <c r="G359" s="88" t="s">
        <v>721</v>
      </c>
    </row>
    <row r="360" spans="1:7" s="77" customFormat="1" ht="15" hidden="1" customHeight="1">
      <c r="A360" s="83">
        <v>45902</v>
      </c>
      <c r="B360" s="84" t="s">
        <v>512</v>
      </c>
      <c r="C360" s="77" t="s">
        <v>717</v>
      </c>
      <c r="D360" s="86" t="s">
        <v>726</v>
      </c>
      <c r="E360" s="96" t="s">
        <v>735</v>
      </c>
      <c r="F360" s="89" t="s">
        <v>728</v>
      </c>
      <c r="G360" s="88" t="s">
        <v>721</v>
      </c>
    </row>
    <row r="361" spans="1:7" s="77" customFormat="1" ht="15" hidden="1" customHeight="1">
      <c r="A361" s="83">
        <v>45902</v>
      </c>
      <c r="B361" s="84" t="s">
        <v>512</v>
      </c>
      <c r="C361" s="77" t="s">
        <v>717</v>
      </c>
      <c r="D361" s="86" t="s">
        <v>736</v>
      </c>
      <c r="E361" s="96" t="s">
        <v>737</v>
      </c>
      <c r="F361" s="89" t="s">
        <v>728</v>
      </c>
      <c r="G361" s="88" t="s">
        <v>721</v>
      </c>
    </row>
    <row r="362" spans="1:7" s="77" customFormat="1" ht="15" hidden="1" customHeight="1">
      <c r="A362" s="83">
        <v>45902</v>
      </c>
      <c r="B362" s="84" t="s">
        <v>512</v>
      </c>
      <c r="C362" s="77" t="s">
        <v>717</v>
      </c>
      <c r="D362" s="86" t="s">
        <v>736</v>
      </c>
      <c r="E362" s="96" t="s">
        <v>738</v>
      </c>
      <c r="F362" s="89" t="s">
        <v>728</v>
      </c>
      <c r="G362" s="88" t="s">
        <v>721</v>
      </c>
    </row>
    <row r="363" spans="1:7" s="77" customFormat="1" ht="15" hidden="1" customHeight="1">
      <c r="A363" s="83">
        <v>45902</v>
      </c>
      <c r="B363" s="84" t="s">
        <v>512</v>
      </c>
      <c r="C363" s="77" t="s">
        <v>717</v>
      </c>
      <c r="D363" s="85" t="s">
        <v>739</v>
      </c>
      <c r="E363" s="96" t="s">
        <v>740</v>
      </c>
      <c r="F363" s="89" t="s">
        <v>742</v>
      </c>
      <c r="G363" s="88" t="s">
        <v>721</v>
      </c>
    </row>
    <row r="364" spans="1:7" s="77" customFormat="1" ht="15" hidden="1" customHeight="1">
      <c r="A364" s="83">
        <v>45902</v>
      </c>
      <c r="B364" s="84" t="s">
        <v>512</v>
      </c>
      <c r="C364" s="77" t="s">
        <v>717</v>
      </c>
      <c r="D364" s="85" t="s">
        <v>739</v>
      </c>
      <c r="E364" s="96" t="s">
        <v>741</v>
      </c>
      <c r="F364" s="89" t="s">
        <v>728</v>
      </c>
      <c r="G364" s="88" t="s">
        <v>721</v>
      </c>
    </row>
    <row r="365" spans="1:7" s="77" customFormat="1" ht="15" hidden="1" customHeight="1">
      <c r="A365" s="83">
        <v>45902</v>
      </c>
      <c r="B365" s="84" t="s">
        <v>512</v>
      </c>
      <c r="C365" s="77" t="s">
        <v>717</v>
      </c>
      <c r="D365" s="85" t="s">
        <v>739</v>
      </c>
      <c r="E365" s="96" t="s">
        <v>743</v>
      </c>
      <c r="F365" s="89" t="s">
        <v>728</v>
      </c>
      <c r="G365" s="88" t="s">
        <v>721</v>
      </c>
    </row>
    <row r="366" spans="1:7" s="77" customFormat="1" ht="15" hidden="1" customHeight="1">
      <c r="A366" s="83">
        <v>45902</v>
      </c>
      <c r="B366" s="84" t="s">
        <v>512</v>
      </c>
      <c r="C366" s="77" t="s">
        <v>717</v>
      </c>
      <c r="D366" s="85" t="s">
        <v>744</v>
      </c>
      <c r="E366" s="96" t="s">
        <v>745</v>
      </c>
      <c r="F366" s="89" t="s">
        <v>728</v>
      </c>
      <c r="G366" s="88" t="s">
        <v>721</v>
      </c>
    </row>
    <row r="367" spans="1:7" s="77" customFormat="1" ht="15" hidden="1" customHeight="1">
      <c r="A367" s="83">
        <v>45902</v>
      </c>
      <c r="B367" s="84" t="s">
        <v>512</v>
      </c>
      <c r="C367" s="77" t="s">
        <v>717</v>
      </c>
      <c r="D367" s="85" t="s">
        <v>744</v>
      </c>
      <c r="E367" s="96" t="s">
        <v>746</v>
      </c>
      <c r="F367" s="89" t="s">
        <v>721</v>
      </c>
      <c r="G367" s="88" t="s">
        <v>721</v>
      </c>
    </row>
    <row r="368" spans="1:7" s="77" customFormat="1" ht="15" hidden="1" customHeight="1">
      <c r="A368" s="83">
        <v>45902</v>
      </c>
      <c r="B368" s="84" t="s">
        <v>512</v>
      </c>
      <c r="C368" s="77" t="s">
        <v>717</v>
      </c>
      <c r="D368" s="85" t="s">
        <v>744</v>
      </c>
      <c r="E368" s="96" t="s">
        <v>747</v>
      </c>
      <c r="F368" s="89" t="s">
        <v>721</v>
      </c>
      <c r="G368" s="88" t="s">
        <v>721</v>
      </c>
    </row>
    <row r="369" spans="1:11" s="77" customFormat="1" ht="15" hidden="1" customHeight="1">
      <c r="A369" s="83">
        <v>45902</v>
      </c>
      <c r="B369" s="84" t="s">
        <v>512</v>
      </c>
      <c r="C369" s="77" t="s">
        <v>717</v>
      </c>
      <c r="D369" s="85" t="s">
        <v>744</v>
      </c>
      <c r="E369" s="96" t="s">
        <v>748</v>
      </c>
      <c r="F369" s="89" t="s">
        <v>728</v>
      </c>
      <c r="G369" s="88" t="s">
        <v>721</v>
      </c>
    </row>
    <row r="370" spans="1:11" s="77" customFormat="1" ht="15" hidden="1" customHeight="1">
      <c r="A370" s="83">
        <v>45902</v>
      </c>
      <c r="B370" s="84" t="s">
        <v>512</v>
      </c>
      <c r="C370" s="77" t="s">
        <v>717</v>
      </c>
      <c r="D370" s="85" t="s">
        <v>744</v>
      </c>
      <c r="E370" s="96" t="s">
        <v>749</v>
      </c>
      <c r="F370" s="89" t="s">
        <v>728</v>
      </c>
      <c r="G370" s="88" t="s">
        <v>721</v>
      </c>
    </row>
    <row r="371" spans="1:11" s="77" customFormat="1" ht="15" hidden="1" customHeight="1">
      <c r="A371" s="83">
        <v>45902</v>
      </c>
      <c r="B371" s="84" t="s">
        <v>512</v>
      </c>
      <c r="C371" s="77" t="s">
        <v>717</v>
      </c>
      <c r="D371" s="85" t="s">
        <v>750</v>
      </c>
      <c r="E371" s="96" t="s">
        <v>751</v>
      </c>
      <c r="F371" s="89" t="s">
        <v>728</v>
      </c>
      <c r="G371" s="88" t="s">
        <v>721</v>
      </c>
    </row>
    <row r="372" spans="1:11" s="77" customFormat="1" ht="15" hidden="1" customHeight="1">
      <c r="A372" s="83">
        <v>45902</v>
      </c>
      <c r="B372" s="84" t="s">
        <v>512</v>
      </c>
      <c r="C372" s="77" t="s">
        <v>717</v>
      </c>
      <c r="D372" s="85" t="s">
        <v>750</v>
      </c>
      <c r="E372" s="96" t="s">
        <v>752</v>
      </c>
      <c r="F372" s="89" t="s">
        <v>728</v>
      </c>
      <c r="G372" s="88" t="s">
        <v>721</v>
      </c>
    </row>
    <row r="373" spans="1:11" s="77" customFormat="1" ht="15" hidden="1" customHeight="1">
      <c r="A373" s="83">
        <v>45902</v>
      </c>
      <c r="B373" s="84" t="s">
        <v>512</v>
      </c>
      <c r="C373" s="77" t="s">
        <v>717</v>
      </c>
      <c r="D373" s="85" t="s">
        <v>750</v>
      </c>
      <c r="E373" s="96" t="s">
        <v>753</v>
      </c>
      <c r="F373" s="89" t="s">
        <v>728</v>
      </c>
      <c r="G373" s="88" t="s">
        <v>721</v>
      </c>
    </row>
    <row r="374" spans="1:11" s="77" customFormat="1" ht="15" hidden="1" customHeight="1">
      <c r="A374" s="83">
        <v>45902</v>
      </c>
      <c r="B374" s="84" t="s">
        <v>512</v>
      </c>
      <c r="C374" s="77" t="s">
        <v>717</v>
      </c>
      <c r="D374" s="85" t="s">
        <v>750</v>
      </c>
      <c r="E374" s="96" t="s">
        <v>754</v>
      </c>
      <c r="F374" s="89" t="s">
        <v>728</v>
      </c>
      <c r="G374" s="88" t="s">
        <v>721</v>
      </c>
    </row>
    <row r="375" spans="1:11" s="77" customFormat="1" ht="15" hidden="1" customHeight="1">
      <c r="A375" s="83">
        <v>45902</v>
      </c>
      <c r="B375" s="84" t="s">
        <v>512</v>
      </c>
      <c r="C375" s="77" t="s">
        <v>717</v>
      </c>
      <c r="D375" s="85" t="s">
        <v>755</v>
      </c>
      <c r="E375" s="86" t="s">
        <v>756</v>
      </c>
      <c r="F375" s="89" t="s">
        <v>728</v>
      </c>
      <c r="G375" s="88" t="s">
        <v>721</v>
      </c>
    </row>
    <row r="376" spans="1:11" s="77" customFormat="1" ht="15" hidden="1" customHeight="1">
      <c r="A376" s="83">
        <v>45902</v>
      </c>
      <c r="B376" s="84" t="s">
        <v>512</v>
      </c>
      <c r="C376" s="77" t="s">
        <v>717</v>
      </c>
      <c r="D376" s="85" t="s">
        <v>755</v>
      </c>
      <c r="E376" s="96" t="s">
        <v>757</v>
      </c>
      <c r="F376" s="89" t="s">
        <v>728</v>
      </c>
      <c r="G376" s="88" t="s">
        <v>721</v>
      </c>
    </row>
    <row r="377" spans="1:11" s="77" customFormat="1" ht="15" hidden="1" customHeight="1">
      <c r="A377" s="83">
        <v>45902</v>
      </c>
      <c r="B377" s="84" t="s">
        <v>512</v>
      </c>
      <c r="C377" s="77" t="s">
        <v>717</v>
      </c>
      <c r="D377" s="85" t="s">
        <v>758</v>
      </c>
      <c r="E377" s="96" t="s">
        <v>759</v>
      </c>
      <c r="F377" s="89" t="s">
        <v>728</v>
      </c>
      <c r="G377" s="88" t="s">
        <v>721</v>
      </c>
    </row>
    <row r="378" spans="1:11" s="77" customFormat="1" ht="15" hidden="1" customHeight="1">
      <c r="A378" s="83">
        <v>45902</v>
      </c>
      <c r="B378" s="84" t="s">
        <v>512</v>
      </c>
      <c r="C378" s="77" t="s">
        <v>717</v>
      </c>
      <c r="D378" s="85" t="s">
        <v>758</v>
      </c>
      <c r="E378" s="96" t="s">
        <v>760</v>
      </c>
      <c r="F378" s="89" t="s">
        <v>728</v>
      </c>
      <c r="G378" s="88" t="s">
        <v>721</v>
      </c>
    </row>
    <row r="379" spans="1:11" s="77" customFormat="1" ht="15" hidden="1" customHeight="1">
      <c r="A379" s="83">
        <v>45902</v>
      </c>
      <c r="B379" s="84" t="s">
        <v>512</v>
      </c>
      <c r="C379" s="77" t="s">
        <v>717</v>
      </c>
      <c r="D379" s="85" t="s">
        <v>758</v>
      </c>
      <c r="E379" s="96" t="s">
        <v>761</v>
      </c>
      <c r="F379" s="89" t="s">
        <v>728</v>
      </c>
      <c r="G379" s="88" t="s">
        <v>721</v>
      </c>
    </row>
    <row r="380" spans="1:11" s="77" customFormat="1" ht="15" hidden="1" customHeight="1">
      <c r="A380" s="83">
        <v>45902</v>
      </c>
      <c r="B380" s="84" t="s">
        <v>512</v>
      </c>
      <c r="C380" s="77" t="s">
        <v>717</v>
      </c>
      <c r="D380" s="85" t="s">
        <v>758</v>
      </c>
      <c r="E380" s="96" t="s">
        <v>762</v>
      </c>
      <c r="F380" s="89" t="s">
        <v>728</v>
      </c>
      <c r="G380" s="88" t="s">
        <v>721</v>
      </c>
    </row>
    <row r="381" spans="1:11" s="77" customFormat="1" ht="15" hidden="1" customHeight="1">
      <c r="A381" s="83">
        <v>45902</v>
      </c>
      <c r="B381" s="84" t="s">
        <v>512</v>
      </c>
      <c r="C381" s="77" t="s">
        <v>717</v>
      </c>
      <c r="D381" s="85" t="s">
        <v>758</v>
      </c>
      <c r="E381" s="96" t="s">
        <v>763</v>
      </c>
      <c r="F381" s="89" t="s">
        <v>728</v>
      </c>
      <c r="G381" s="88" t="s">
        <v>721</v>
      </c>
    </row>
    <row r="382" spans="1:11" ht="15" customHeight="1">
      <c r="A382" s="90">
        <v>45902</v>
      </c>
      <c r="B382" s="91" t="s">
        <v>517</v>
      </c>
      <c r="C382" s="78" t="s">
        <v>717</v>
      </c>
      <c r="D382" s="91" t="s">
        <v>726</v>
      </c>
      <c r="E382" s="78" t="s">
        <v>732</v>
      </c>
      <c r="F382" s="93" t="s">
        <v>785</v>
      </c>
      <c r="G382" s="94">
        <v>1851051</v>
      </c>
      <c r="H382" s="78" t="s">
        <v>354</v>
      </c>
      <c r="I382" s="78" t="s">
        <v>774</v>
      </c>
      <c r="J382" s="78" t="s">
        <v>786</v>
      </c>
      <c r="K382" s="78" t="s">
        <v>354</v>
      </c>
    </row>
    <row r="383" spans="1:11" s="77" customFormat="1" ht="15" hidden="1" customHeight="1">
      <c r="A383" s="83">
        <v>45902</v>
      </c>
      <c r="B383" s="84" t="s">
        <v>512</v>
      </c>
      <c r="C383" s="77" t="s">
        <v>717</v>
      </c>
      <c r="D383" s="85" t="s">
        <v>718</v>
      </c>
      <c r="E383" s="86" t="s">
        <v>719</v>
      </c>
      <c r="F383" s="89" t="s">
        <v>728</v>
      </c>
      <c r="G383" s="88" t="s">
        <v>721</v>
      </c>
    </row>
    <row r="384" spans="1:11" s="77" customFormat="1" ht="15" hidden="1" customHeight="1">
      <c r="A384" s="83">
        <v>45902</v>
      </c>
      <c r="B384" s="84" t="s">
        <v>512</v>
      </c>
      <c r="C384" s="77" t="s">
        <v>717</v>
      </c>
      <c r="D384" s="85" t="s">
        <v>718</v>
      </c>
      <c r="E384" s="86" t="s">
        <v>765</v>
      </c>
      <c r="F384" s="89" t="s">
        <v>728</v>
      </c>
      <c r="G384" s="88" t="s">
        <v>721</v>
      </c>
    </row>
    <row r="385" spans="1:7" s="77" customFormat="1" ht="15" hidden="1" customHeight="1">
      <c r="A385" s="83">
        <v>45902</v>
      </c>
      <c r="B385" s="84" t="s">
        <v>512</v>
      </c>
      <c r="C385" s="77" t="s">
        <v>717</v>
      </c>
      <c r="D385" s="85" t="s">
        <v>718</v>
      </c>
      <c r="E385" s="86" t="s">
        <v>766</v>
      </c>
      <c r="F385" s="89" t="s">
        <v>728</v>
      </c>
      <c r="G385" s="88" t="s">
        <v>721</v>
      </c>
    </row>
    <row r="386" spans="1:7" s="77" customFormat="1" ht="15" hidden="1" customHeight="1">
      <c r="A386" s="83">
        <v>45902</v>
      </c>
      <c r="B386" s="84" t="s">
        <v>512</v>
      </c>
      <c r="C386" s="77" t="s">
        <v>717</v>
      </c>
      <c r="D386" s="85" t="s">
        <v>718</v>
      </c>
      <c r="E386" s="86" t="s">
        <v>767</v>
      </c>
      <c r="F386" s="89" t="s">
        <v>728</v>
      </c>
      <c r="G386" s="88" t="s">
        <v>721</v>
      </c>
    </row>
    <row r="387" spans="1:7" s="77" customFormat="1" ht="15" hidden="1" customHeight="1">
      <c r="A387" s="83">
        <v>45902</v>
      </c>
      <c r="B387" s="84" t="s">
        <v>512</v>
      </c>
      <c r="C387" s="77" t="s">
        <v>717</v>
      </c>
      <c r="D387" s="85" t="s">
        <v>718</v>
      </c>
      <c r="E387" s="86" t="s">
        <v>768</v>
      </c>
      <c r="F387" s="89" t="s">
        <v>728</v>
      </c>
      <c r="G387" s="88" t="s">
        <v>721</v>
      </c>
    </row>
    <row r="388" spans="1:7" s="77" customFormat="1" ht="15" hidden="1" customHeight="1">
      <c r="A388" s="83">
        <v>45902</v>
      </c>
      <c r="B388" s="84" t="s">
        <v>512</v>
      </c>
      <c r="C388" s="77" t="s">
        <v>717</v>
      </c>
      <c r="D388" s="85" t="s">
        <v>718</v>
      </c>
      <c r="E388" s="86" t="s">
        <v>769</v>
      </c>
      <c r="F388" s="89" t="s">
        <v>728</v>
      </c>
      <c r="G388" s="88" t="s">
        <v>721</v>
      </c>
    </row>
    <row r="389" spans="1:7" s="77" customFormat="1" ht="15" hidden="1" customHeight="1">
      <c r="A389" s="83">
        <v>45902</v>
      </c>
      <c r="B389" s="84" t="s">
        <v>512</v>
      </c>
      <c r="C389" s="77" t="s">
        <v>717</v>
      </c>
      <c r="D389" s="85" t="s">
        <v>718</v>
      </c>
      <c r="E389" s="86" t="s">
        <v>770</v>
      </c>
      <c r="F389" s="89" t="s">
        <v>728</v>
      </c>
      <c r="G389" s="88" t="s">
        <v>721</v>
      </c>
    </row>
    <row r="390" spans="1:7" s="77" customFormat="1" ht="15" hidden="1" customHeight="1">
      <c r="A390" s="83">
        <v>45902</v>
      </c>
      <c r="B390" s="84" t="s">
        <v>512</v>
      </c>
      <c r="C390" s="77" t="s">
        <v>717</v>
      </c>
      <c r="D390" s="85" t="s">
        <v>718</v>
      </c>
      <c r="E390" s="86" t="s">
        <v>771</v>
      </c>
      <c r="F390" s="89" t="s">
        <v>728</v>
      </c>
      <c r="G390" s="88" t="s">
        <v>721</v>
      </c>
    </row>
    <row r="391" spans="1:7" s="77" customFormat="1" ht="15" hidden="1" customHeight="1">
      <c r="A391" s="83">
        <v>45902</v>
      </c>
      <c r="B391" s="84" t="s">
        <v>512</v>
      </c>
      <c r="C391" s="77" t="s">
        <v>717</v>
      </c>
      <c r="D391" s="85" t="s">
        <v>718</v>
      </c>
      <c r="E391" s="86" t="s">
        <v>772</v>
      </c>
      <c r="F391" s="89" t="s">
        <v>728</v>
      </c>
      <c r="G391" s="88" t="s">
        <v>721</v>
      </c>
    </row>
    <row r="392" spans="1:7" s="77" customFormat="1" ht="15" hidden="1" customHeight="1">
      <c r="A392" s="83">
        <v>45902</v>
      </c>
      <c r="B392" s="84" t="s">
        <v>705</v>
      </c>
      <c r="C392" s="77" t="s">
        <v>717</v>
      </c>
      <c r="D392" s="86" t="s">
        <v>726</v>
      </c>
      <c r="E392" s="95" t="s">
        <v>727</v>
      </c>
      <c r="F392" s="89" t="s">
        <v>728</v>
      </c>
      <c r="G392" s="88" t="s">
        <v>721</v>
      </c>
    </row>
    <row r="393" spans="1:7" s="77" customFormat="1" ht="15" hidden="1" customHeight="1">
      <c r="A393" s="83">
        <v>45902</v>
      </c>
      <c r="B393" s="84" t="s">
        <v>705</v>
      </c>
      <c r="C393" s="77" t="s">
        <v>717</v>
      </c>
      <c r="D393" s="86" t="s">
        <v>726</v>
      </c>
      <c r="E393" s="96" t="s">
        <v>729</v>
      </c>
      <c r="F393" s="89" t="s">
        <v>728</v>
      </c>
      <c r="G393" s="88" t="s">
        <v>721</v>
      </c>
    </row>
    <row r="394" spans="1:7" s="77" customFormat="1" ht="15" hidden="1" customHeight="1">
      <c r="A394" s="83">
        <v>45902</v>
      </c>
      <c r="B394" s="84" t="s">
        <v>705</v>
      </c>
      <c r="C394" s="77" t="s">
        <v>717</v>
      </c>
      <c r="D394" s="86" t="s">
        <v>726</v>
      </c>
      <c r="E394" s="96" t="s">
        <v>730</v>
      </c>
      <c r="F394" s="89" t="s">
        <v>728</v>
      </c>
      <c r="G394" s="88" t="s">
        <v>721</v>
      </c>
    </row>
    <row r="395" spans="1:7" s="77" customFormat="1" ht="15" hidden="1" customHeight="1">
      <c r="A395" s="83">
        <v>45902</v>
      </c>
      <c r="B395" s="84" t="s">
        <v>705</v>
      </c>
      <c r="C395" s="77" t="s">
        <v>717</v>
      </c>
      <c r="D395" s="86" t="s">
        <v>726</v>
      </c>
      <c r="E395" s="96" t="s">
        <v>731</v>
      </c>
      <c r="F395" s="89" t="s">
        <v>728</v>
      </c>
      <c r="G395" s="88" t="s">
        <v>721</v>
      </c>
    </row>
    <row r="396" spans="1:7" s="77" customFormat="1" ht="15" hidden="1" customHeight="1">
      <c r="A396" s="83">
        <v>45902</v>
      </c>
      <c r="B396" s="84" t="s">
        <v>705</v>
      </c>
      <c r="C396" s="77" t="s">
        <v>717</v>
      </c>
      <c r="D396" s="86" t="s">
        <v>726</v>
      </c>
      <c r="E396" s="96" t="s">
        <v>732</v>
      </c>
      <c r="F396" s="89" t="s">
        <v>728</v>
      </c>
      <c r="G396" s="88" t="s">
        <v>721</v>
      </c>
    </row>
    <row r="397" spans="1:7" s="77" customFormat="1" ht="15" hidden="1" customHeight="1">
      <c r="A397" s="83">
        <v>45902</v>
      </c>
      <c r="B397" s="84" t="s">
        <v>705</v>
      </c>
      <c r="C397" s="77" t="s">
        <v>717</v>
      </c>
      <c r="D397" s="86" t="s">
        <v>726</v>
      </c>
      <c r="E397" s="96" t="s">
        <v>733</v>
      </c>
      <c r="F397" s="89" t="s">
        <v>728</v>
      </c>
      <c r="G397" s="88" t="s">
        <v>721</v>
      </c>
    </row>
    <row r="398" spans="1:7" s="77" customFormat="1" ht="15" hidden="1" customHeight="1">
      <c r="A398" s="83">
        <v>45902</v>
      </c>
      <c r="B398" s="84" t="s">
        <v>705</v>
      </c>
      <c r="C398" s="77" t="s">
        <v>717</v>
      </c>
      <c r="D398" s="86" t="s">
        <v>726</v>
      </c>
      <c r="E398" s="96" t="s">
        <v>734</v>
      </c>
      <c r="F398" s="89" t="s">
        <v>728</v>
      </c>
      <c r="G398" s="88" t="s">
        <v>721</v>
      </c>
    </row>
    <row r="399" spans="1:7" s="77" customFormat="1" ht="15" hidden="1" customHeight="1">
      <c r="A399" s="83">
        <v>45902</v>
      </c>
      <c r="B399" s="84" t="s">
        <v>705</v>
      </c>
      <c r="C399" s="77" t="s">
        <v>717</v>
      </c>
      <c r="D399" s="86" t="s">
        <v>726</v>
      </c>
      <c r="E399" s="96" t="s">
        <v>735</v>
      </c>
      <c r="F399" s="89" t="s">
        <v>728</v>
      </c>
      <c r="G399" s="88" t="s">
        <v>721</v>
      </c>
    </row>
    <row r="400" spans="1:7" s="77" customFormat="1" ht="15" hidden="1" customHeight="1">
      <c r="A400" s="83">
        <v>45902</v>
      </c>
      <c r="B400" s="84" t="s">
        <v>705</v>
      </c>
      <c r="C400" s="77" t="s">
        <v>717</v>
      </c>
      <c r="D400" s="86" t="s">
        <v>736</v>
      </c>
      <c r="E400" s="96" t="s">
        <v>737</v>
      </c>
      <c r="F400" s="89" t="s">
        <v>728</v>
      </c>
      <c r="G400" s="88" t="s">
        <v>721</v>
      </c>
    </row>
    <row r="401" spans="1:7" s="77" customFormat="1" ht="15" hidden="1" customHeight="1">
      <c r="A401" s="83">
        <v>45902</v>
      </c>
      <c r="B401" s="84" t="s">
        <v>705</v>
      </c>
      <c r="C401" s="77" t="s">
        <v>717</v>
      </c>
      <c r="D401" s="86" t="s">
        <v>736</v>
      </c>
      <c r="E401" s="96" t="s">
        <v>738</v>
      </c>
      <c r="F401" s="89" t="s">
        <v>728</v>
      </c>
      <c r="G401" s="88" t="s">
        <v>721</v>
      </c>
    </row>
    <row r="402" spans="1:7" s="77" customFormat="1" ht="15" hidden="1" customHeight="1">
      <c r="A402" s="83">
        <v>45902</v>
      </c>
      <c r="B402" s="84" t="s">
        <v>705</v>
      </c>
      <c r="C402" s="77" t="s">
        <v>717</v>
      </c>
      <c r="D402" s="85" t="s">
        <v>739</v>
      </c>
      <c r="E402" s="96" t="s">
        <v>740</v>
      </c>
      <c r="F402" s="89" t="s">
        <v>742</v>
      </c>
      <c r="G402" s="88" t="s">
        <v>721</v>
      </c>
    </row>
    <row r="403" spans="1:7" s="77" customFormat="1" ht="15" hidden="1" customHeight="1">
      <c r="A403" s="83">
        <v>45902</v>
      </c>
      <c r="B403" s="84" t="s">
        <v>705</v>
      </c>
      <c r="C403" s="77" t="s">
        <v>717</v>
      </c>
      <c r="D403" s="85" t="s">
        <v>739</v>
      </c>
      <c r="E403" s="96" t="s">
        <v>741</v>
      </c>
      <c r="F403" s="89" t="s">
        <v>728</v>
      </c>
      <c r="G403" s="88" t="s">
        <v>721</v>
      </c>
    </row>
    <row r="404" spans="1:7" s="77" customFormat="1" ht="15" hidden="1" customHeight="1">
      <c r="A404" s="83">
        <v>45902</v>
      </c>
      <c r="B404" s="84" t="s">
        <v>705</v>
      </c>
      <c r="C404" s="77" t="s">
        <v>717</v>
      </c>
      <c r="D404" s="85" t="s">
        <v>739</v>
      </c>
      <c r="E404" s="96" t="s">
        <v>743</v>
      </c>
      <c r="F404" s="89" t="s">
        <v>728</v>
      </c>
      <c r="G404" s="88" t="s">
        <v>721</v>
      </c>
    </row>
    <row r="405" spans="1:7" s="77" customFormat="1" ht="15" hidden="1" customHeight="1">
      <c r="A405" s="83">
        <v>45902</v>
      </c>
      <c r="B405" s="84" t="s">
        <v>705</v>
      </c>
      <c r="C405" s="77" t="s">
        <v>717</v>
      </c>
      <c r="D405" s="85" t="s">
        <v>744</v>
      </c>
      <c r="E405" s="96" t="s">
        <v>745</v>
      </c>
      <c r="F405" s="89" t="s">
        <v>728</v>
      </c>
      <c r="G405" s="88" t="s">
        <v>721</v>
      </c>
    </row>
    <row r="406" spans="1:7" s="77" customFormat="1" ht="15" hidden="1" customHeight="1">
      <c r="A406" s="83">
        <v>45902</v>
      </c>
      <c r="B406" s="84" t="s">
        <v>705</v>
      </c>
      <c r="C406" s="77" t="s">
        <v>717</v>
      </c>
      <c r="D406" s="85" t="s">
        <v>744</v>
      </c>
      <c r="E406" s="96" t="s">
        <v>746</v>
      </c>
      <c r="F406" s="89" t="s">
        <v>721</v>
      </c>
      <c r="G406" s="88" t="s">
        <v>721</v>
      </c>
    </row>
    <row r="407" spans="1:7" s="77" customFormat="1" ht="15" hidden="1" customHeight="1">
      <c r="A407" s="83">
        <v>45902</v>
      </c>
      <c r="B407" s="84" t="s">
        <v>705</v>
      </c>
      <c r="C407" s="77" t="s">
        <v>717</v>
      </c>
      <c r="D407" s="85" t="s">
        <v>744</v>
      </c>
      <c r="E407" s="96" t="s">
        <v>747</v>
      </c>
      <c r="F407" s="89" t="s">
        <v>721</v>
      </c>
      <c r="G407" s="88" t="s">
        <v>721</v>
      </c>
    </row>
    <row r="408" spans="1:7" s="77" customFormat="1" ht="15" hidden="1" customHeight="1">
      <c r="A408" s="83">
        <v>45902</v>
      </c>
      <c r="B408" s="84" t="s">
        <v>705</v>
      </c>
      <c r="C408" s="77" t="s">
        <v>717</v>
      </c>
      <c r="D408" s="85" t="s">
        <v>744</v>
      </c>
      <c r="E408" s="96" t="s">
        <v>748</v>
      </c>
      <c r="F408" s="89" t="s">
        <v>728</v>
      </c>
      <c r="G408" s="88" t="s">
        <v>721</v>
      </c>
    </row>
    <row r="409" spans="1:7" s="77" customFormat="1" ht="15" hidden="1" customHeight="1">
      <c r="A409" s="83">
        <v>45902</v>
      </c>
      <c r="B409" s="84" t="s">
        <v>705</v>
      </c>
      <c r="C409" s="77" t="s">
        <v>717</v>
      </c>
      <c r="D409" s="85" t="s">
        <v>744</v>
      </c>
      <c r="E409" s="96" t="s">
        <v>749</v>
      </c>
      <c r="F409" s="89" t="s">
        <v>728</v>
      </c>
      <c r="G409" s="88" t="s">
        <v>721</v>
      </c>
    </row>
    <row r="410" spans="1:7" s="77" customFormat="1" ht="15" hidden="1" customHeight="1">
      <c r="A410" s="83">
        <v>45902</v>
      </c>
      <c r="B410" s="84" t="s">
        <v>705</v>
      </c>
      <c r="C410" s="77" t="s">
        <v>717</v>
      </c>
      <c r="D410" s="85" t="s">
        <v>750</v>
      </c>
      <c r="E410" s="96" t="s">
        <v>751</v>
      </c>
      <c r="F410" s="89" t="s">
        <v>728</v>
      </c>
      <c r="G410" s="88" t="s">
        <v>721</v>
      </c>
    </row>
    <row r="411" spans="1:7" s="77" customFormat="1" ht="15" hidden="1" customHeight="1">
      <c r="A411" s="83">
        <v>45902</v>
      </c>
      <c r="B411" s="84" t="s">
        <v>705</v>
      </c>
      <c r="C411" s="77" t="s">
        <v>717</v>
      </c>
      <c r="D411" s="85" t="s">
        <v>750</v>
      </c>
      <c r="E411" s="96" t="s">
        <v>752</v>
      </c>
      <c r="F411" s="89" t="s">
        <v>728</v>
      </c>
      <c r="G411" s="88" t="s">
        <v>721</v>
      </c>
    </row>
    <row r="412" spans="1:7" s="77" customFormat="1" ht="15" hidden="1" customHeight="1">
      <c r="A412" s="83">
        <v>45902</v>
      </c>
      <c r="B412" s="84" t="s">
        <v>705</v>
      </c>
      <c r="C412" s="77" t="s">
        <v>717</v>
      </c>
      <c r="D412" s="85" t="s">
        <v>750</v>
      </c>
      <c r="E412" s="96" t="s">
        <v>753</v>
      </c>
      <c r="F412" s="89" t="s">
        <v>728</v>
      </c>
      <c r="G412" s="88" t="s">
        <v>721</v>
      </c>
    </row>
    <row r="413" spans="1:7" s="77" customFormat="1" ht="15" hidden="1" customHeight="1">
      <c r="A413" s="83">
        <v>45902</v>
      </c>
      <c r="B413" s="84" t="s">
        <v>705</v>
      </c>
      <c r="C413" s="77" t="s">
        <v>717</v>
      </c>
      <c r="D413" s="85" t="s">
        <v>750</v>
      </c>
      <c r="E413" s="96" t="s">
        <v>754</v>
      </c>
      <c r="F413" s="89" t="s">
        <v>728</v>
      </c>
      <c r="G413" s="88" t="s">
        <v>721</v>
      </c>
    </row>
    <row r="414" spans="1:7" s="77" customFormat="1" ht="15" hidden="1" customHeight="1">
      <c r="A414" s="83">
        <v>45902</v>
      </c>
      <c r="B414" s="84" t="s">
        <v>705</v>
      </c>
      <c r="C414" s="77" t="s">
        <v>717</v>
      </c>
      <c r="D414" s="85" t="s">
        <v>755</v>
      </c>
      <c r="E414" s="86" t="s">
        <v>756</v>
      </c>
      <c r="F414" s="89" t="s">
        <v>728</v>
      </c>
      <c r="G414" s="88" t="s">
        <v>721</v>
      </c>
    </row>
    <row r="415" spans="1:7" s="77" customFormat="1" ht="15" hidden="1" customHeight="1">
      <c r="A415" s="83">
        <v>45902</v>
      </c>
      <c r="B415" s="84" t="s">
        <v>705</v>
      </c>
      <c r="C415" s="77" t="s">
        <v>717</v>
      </c>
      <c r="D415" s="85" t="s">
        <v>755</v>
      </c>
      <c r="E415" s="96" t="s">
        <v>757</v>
      </c>
      <c r="F415" s="89" t="s">
        <v>728</v>
      </c>
      <c r="G415" s="88" t="s">
        <v>721</v>
      </c>
    </row>
    <row r="416" spans="1:7" s="77" customFormat="1" ht="15" hidden="1" customHeight="1">
      <c r="A416" s="83">
        <v>45902</v>
      </c>
      <c r="B416" s="84" t="s">
        <v>705</v>
      </c>
      <c r="C416" s="77" t="s">
        <v>717</v>
      </c>
      <c r="D416" s="85" t="s">
        <v>758</v>
      </c>
      <c r="E416" s="96" t="s">
        <v>759</v>
      </c>
      <c r="F416" s="89" t="s">
        <v>728</v>
      </c>
      <c r="G416" s="88" t="s">
        <v>721</v>
      </c>
    </row>
    <row r="417" spans="1:11" s="77" customFormat="1" ht="15" hidden="1" customHeight="1">
      <c r="A417" s="83">
        <v>45902</v>
      </c>
      <c r="B417" s="84" t="s">
        <v>705</v>
      </c>
      <c r="C417" s="77" t="s">
        <v>717</v>
      </c>
      <c r="D417" s="85" t="s">
        <v>758</v>
      </c>
      <c r="E417" s="96" t="s">
        <v>760</v>
      </c>
      <c r="F417" s="89" t="s">
        <v>728</v>
      </c>
      <c r="G417" s="88" t="s">
        <v>721</v>
      </c>
    </row>
    <row r="418" spans="1:11" s="77" customFormat="1" ht="15" hidden="1" customHeight="1">
      <c r="A418" s="83">
        <v>45902</v>
      </c>
      <c r="B418" s="84" t="s">
        <v>705</v>
      </c>
      <c r="C418" s="77" t="s">
        <v>717</v>
      </c>
      <c r="D418" s="85" t="s">
        <v>758</v>
      </c>
      <c r="E418" s="96" t="s">
        <v>761</v>
      </c>
      <c r="F418" s="89" t="s">
        <v>728</v>
      </c>
      <c r="G418" s="88" t="s">
        <v>721</v>
      </c>
    </row>
    <row r="419" spans="1:11" s="77" customFormat="1" ht="15" hidden="1" customHeight="1">
      <c r="A419" s="83">
        <v>45902</v>
      </c>
      <c r="B419" s="84" t="s">
        <v>705</v>
      </c>
      <c r="C419" s="77" t="s">
        <v>717</v>
      </c>
      <c r="D419" s="85" t="s">
        <v>758</v>
      </c>
      <c r="E419" s="96" t="s">
        <v>762</v>
      </c>
      <c r="F419" s="89" t="s">
        <v>728</v>
      </c>
      <c r="G419" s="88" t="s">
        <v>721</v>
      </c>
    </row>
    <row r="420" spans="1:11" s="77" customFormat="1" ht="15" hidden="1" customHeight="1">
      <c r="A420" s="83">
        <v>45902</v>
      </c>
      <c r="B420" s="84" t="s">
        <v>705</v>
      </c>
      <c r="C420" s="77" t="s">
        <v>717</v>
      </c>
      <c r="D420" s="85" t="s">
        <v>758</v>
      </c>
      <c r="E420" s="96" t="s">
        <v>763</v>
      </c>
      <c r="F420" s="89" t="s">
        <v>728</v>
      </c>
      <c r="G420" s="88" t="s">
        <v>721</v>
      </c>
    </row>
    <row r="421" spans="1:11" ht="15" customHeight="1">
      <c r="A421" s="90">
        <v>45902</v>
      </c>
      <c r="B421" s="91" t="s">
        <v>517</v>
      </c>
      <c r="C421" s="78" t="s">
        <v>717</v>
      </c>
      <c r="D421" s="92" t="s">
        <v>750</v>
      </c>
      <c r="E421" s="78" t="s">
        <v>754</v>
      </c>
      <c r="F421" s="80" t="s">
        <v>787</v>
      </c>
      <c r="G421" s="94">
        <v>1847819</v>
      </c>
      <c r="H421" s="78" t="s">
        <v>354</v>
      </c>
      <c r="I421" s="78" t="s">
        <v>774</v>
      </c>
      <c r="J421" s="78" t="s">
        <v>779</v>
      </c>
      <c r="K421" s="78" t="s">
        <v>354</v>
      </c>
    </row>
    <row r="422" spans="1:11" s="77" customFormat="1" ht="15" hidden="1" customHeight="1">
      <c r="A422" s="83">
        <v>45902</v>
      </c>
      <c r="B422" s="84" t="s">
        <v>705</v>
      </c>
      <c r="C422" s="77" t="s">
        <v>717</v>
      </c>
      <c r="D422" s="85" t="s">
        <v>718</v>
      </c>
      <c r="E422" s="86" t="s">
        <v>719</v>
      </c>
      <c r="F422" s="89" t="s">
        <v>728</v>
      </c>
      <c r="G422" s="88" t="s">
        <v>721</v>
      </c>
    </row>
    <row r="423" spans="1:11" s="77" customFormat="1" ht="15" hidden="1" customHeight="1">
      <c r="A423" s="83">
        <v>45902</v>
      </c>
      <c r="B423" s="84" t="s">
        <v>705</v>
      </c>
      <c r="C423" s="77" t="s">
        <v>717</v>
      </c>
      <c r="D423" s="85" t="s">
        <v>718</v>
      </c>
      <c r="E423" s="86" t="s">
        <v>765</v>
      </c>
      <c r="F423" s="89" t="s">
        <v>728</v>
      </c>
      <c r="G423" s="88" t="s">
        <v>721</v>
      </c>
    </row>
    <row r="424" spans="1:11" s="77" customFormat="1" ht="15" hidden="1" customHeight="1">
      <c r="A424" s="83">
        <v>45902</v>
      </c>
      <c r="B424" s="84" t="s">
        <v>705</v>
      </c>
      <c r="C424" s="77" t="s">
        <v>717</v>
      </c>
      <c r="D424" s="85" t="s">
        <v>718</v>
      </c>
      <c r="E424" s="86" t="s">
        <v>766</v>
      </c>
      <c r="F424" s="89" t="s">
        <v>728</v>
      </c>
      <c r="G424" s="88" t="s">
        <v>721</v>
      </c>
    </row>
    <row r="425" spans="1:11" s="77" customFormat="1" ht="15" hidden="1" customHeight="1">
      <c r="A425" s="83">
        <v>45902</v>
      </c>
      <c r="B425" s="84" t="s">
        <v>705</v>
      </c>
      <c r="C425" s="77" t="s">
        <v>717</v>
      </c>
      <c r="D425" s="85" t="s">
        <v>718</v>
      </c>
      <c r="E425" s="86" t="s">
        <v>767</v>
      </c>
      <c r="F425" s="89" t="s">
        <v>728</v>
      </c>
      <c r="G425" s="88" t="s">
        <v>721</v>
      </c>
    </row>
    <row r="426" spans="1:11" s="77" customFormat="1" ht="15" hidden="1" customHeight="1">
      <c r="A426" s="83">
        <v>45902</v>
      </c>
      <c r="B426" s="84" t="s">
        <v>705</v>
      </c>
      <c r="C426" s="77" t="s">
        <v>717</v>
      </c>
      <c r="D426" s="85" t="s">
        <v>718</v>
      </c>
      <c r="E426" s="86" t="s">
        <v>768</v>
      </c>
      <c r="F426" s="89" t="s">
        <v>728</v>
      </c>
      <c r="G426" s="88" t="s">
        <v>721</v>
      </c>
    </row>
    <row r="427" spans="1:11" s="77" customFormat="1" ht="15" hidden="1" customHeight="1">
      <c r="A427" s="83">
        <v>45902</v>
      </c>
      <c r="B427" s="84" t="s">
        <v>705</v>
      </c>
      <c r="C427" s="77" t="s">
        <v>717</v>
      </c>
      <c r="D427" s="85" t="s">
        <v>718</v>
      </c>
      <c r="E427" s="86" t="s">
        <v>769</v>
      </c>
      <c r="F427" s="89" t="s">
        <v>728</v>
      </c>
      <c r="G427" s="88" t="s">
        <v>721</v>
      </c>
    </row>
    <row r="428" spans="1:11" s="77" customFormat="1" ht="15" hidden="1" customHeight="1">
      <c r="A428" s="83">
        <v>45902</v>
      </c>
      <c r="B428" s="84" t="s">
        <v>705</v>
      </c>
      <c r="C428" s="77" t="s">
        <v>717</v>
      </c>
      <c r="D428" s="85" t="s">
        <v>718</v>
      </c>
      <c r="E428" s="86" t="s">
        <v>770</v>
      </c>
      <c r="F428" s="89" t="s">
        <v>728</v>
      </c>
      <c r="G428" s="88" t="s">
        <v>721</v>
      </c>
    </row>
    <row r="429" spans="1:11" s="77" customFormat="1" ht="15" hidden="1" customHeight="1">
      <c r="A429" s="83">
        <v>45902</v>
      </c>
      <c r="B429" s="84" t="s">
        <v>705</v>
      </c>
      <c r="C429" s="77" t="s">
        <v>717</v>
      </c>
      <c r="D429" s="85" t="s">
        <v>718</v>
      </c>
      <c r="E429" s="86" t="s">
        <v>771</v>
      </c>
      <c r="F429" s="89" t="s">
        <v>728</v>
      </c>
      <c r="G429" s="88" t="s">
        <v>721</v>
      </c>
    </row>
    <row r="430" spans="1:11" s="77" customFormat="1" ht="15" hidden="1" customHeight="1">
      <c r="A430" s="83">
        <v>45902</v>
      </c>
      <c r="B430" s="84" t="s">
        <v>705</v>
      </c>
      <c r="C430" s="77" t="s">
        <v>717</v>
      </c>
      <c r="D430" s="85" t="s">
        <v>718</v>
      </c>
      <c r="E430" s="86" t="s">
        <v>772</v>
      </c>
      <c r="F430" s="89" t="s">
        <v>728</v>
      </c>
      <c r="G430" s="88" t="s">
        <v>721</v>
      </c>
    </row>
    <row r="431" spans="1:11" s="77" customFormat="1" ht="15" hidden="1" customHeight="1">
      <c r="A431" s="83">
        <v>45902</v>
      </c>
      <c r="B431" s="84" t="s">
        <v>593</v>
      </c>
      <c r="C431" s="77" t="s">
        <v>717</v>
      </c>
      <c r="D431" s="86" t="s">
        <v>726</v>
      </c>
      <c r="E431" s="95" t="s">
        <v>727</v>
      </c>
      <c r="F431" s="89" t="s">
        <v>728</v>
      </c>
      <c r="G431" s="88" t="s">
        <v>721</v>
      </c>
    </row>
    <row r="432" spans="1:11" s="77" customFormat="1" ht="15" hidden="1" customHeight="1">
      <c r="A432" s="83">
        <v>45902</v>
      </c>
      <c r="B432" s="84" t="s">
        <v>593</v>
      </c>
      <c r="C432" s="77" t="s">
        <v>717</v>
      </c>
      <c r="D432" s="86" t="s">
        <v>726</v>
      </c>
      <c r="E432" s="96" t="s">
        <v>729</v>
      </c>
      <c r="F432" s="89" t="s">
        <v>728</v>
      </c>
      <c r="G432" s="88" t="s">
        <v>721</v>
      </c>
    </row>
    <row r="433" spans="1:7" s="77" customFormat="1" ht="15" hidden="1" customHeight="1">
      <c r="A433" s="83">
        <v>45902</v>
      </c>
      <c r="B433" s="84" t="s">
        <v>593</v>
      </c>
      <c r="C433" s="77" t="s">
        <v>717</v>
      </c>
      <c r="D433" s="86" t="s">
        <v>726</v>
      </c>
      <c r="E433" s="96" t="s">
        <v>730</v>
      </c>
      <c r="F433" s="89" t="s">
        <v>728</v>
      </c>
      <c r="G433" s="88" t="s">
        <v>721</v>
      </c>
    </row>
    <row r="434" spans="1:7" s="77" customFormat="1" ht="15" hidden="1" customHeight="1">
      <c r="A434" s="83">
        <v>45902</v>
      </c>
      <c r="B434" s="84" t="s">
        <v>517</v>
      </c>
      <c r="C434" s="77" t="s">
        <v>717</v>
      </c>
      <c r="D434" s="85" t="s">
        <v>758</v>
      </c>
      <c r="E434" s="96" t="s">
        <v>764</v>
      </c>
      <c r="F434" s="87" t="s">
        <v>788</v>
      </c>
      <c r="G434" s="88" t="s">
        <v>721</v>
      </c>
    </row>
    <row r="435" spans="1:7" s="77" customFormat="1" ht="15" hidden="1" customHeight="1">
      <c r="A435" s="83">
        <v>45902</v>
      </c>
      <c r="B435" s="84" t="s">
        <v>593</v>
      </c>
      <c r="C435" s="77" t="s">
        <v>717</v>
      </c>
      <c r="D435" s="86" t="s">
        <v>726</v>
      </c>
      <c r="E435" s="96" t="s">
        <v>732</v>
      </c>
      <c r="F435" s="89" t="s">
        <v>728</v>
      </c>
      <c r="G435" s="88" t="s">
        <v>721</v>
      </c>
    </row>
    <row r="436" spans="1:7" s="77" customFormat="1" ht="15" hidden="1" customHeight="1">
      <c r="A436" s="83">
        <v>45902</v>
      </c>
      <c r="B436" s="84" t="s">
        <v>593</v>
      </c>
      <c r="C436" s="77" t="s">
        <v>717</v>
      </c>
      <c r="D436" s="86" t="s">
        <v>726</v>
      </c>
      <c r="E436" s="96" t="s">
        <v>733</v>
      </c>
      <c r="F436" s="89" t="s">
        <v>728</v>
      </c>
      <c r="G436" s="88" t="s">
        <v>721</v>
      </c>
    </row>
    <row r="437" spans="1:7" s="77" customFormat="1" ht="15" hidden="1" customHeight="1">
      <c r="A437" s="83">
        <v>45902</v>
      </c>
      <c r="B437" s="84" t="s">
        <v>512</v>
      </c>
      <c r="C437" s="77" t="s">
        <v>717</v>
      </c>
      <c r="D437" s="85" t="s">
        <v>758</v>
      </c>
      <c r="E437" s="96" t="s">
        <v>764</v>
      </c>
      <c r="F437" s="87" t="s">
        <v>788</v>
      </c>
      <c r="G437" s="88" t="s">
        <v>721</v>
      </c>
    </row>
    <row r="438" spans="1:7" s="77" customFormat="1" ht="15" hidden="1" customHeight="1">
      <c r="A438" s="83">
        <v>45902</v>
      </c>
      <c r="B438" s="84" t="s">
        <v>593</v>
      </c>
      <c r="C438" s="77" t="s">
        <v>717</v>
      </c>
      <c r="D438" s="86" t="s">
        <v>726</v>
      </c>
      <c r="E438" s="96" t="s">
        <v>735</v>
      </c>
      <c r="F438" s="89" t="s">
        <v>728</v>
      </c>
      <c r="G438" s="88" t="s">
        <v>721</v>
      </c>
    </row>
    <row r="439" spans="1:7" s="77" customFormat="1" ht="15" hidden="1" customHeight="1">
      <c r="A439" s="83">
        <v>45902</v>
      </c>
      <c r="B439" s="84" t="s">
        <v>593</v>
      </c>
      <c r="C439" s="77" t="s">
        <v>717</v>
      </c>
      <c r="D439" s="86" t="s">
        <v>736</v>
      </c>
      <c r="E439" s="96" t="s">
        <v>737</v>
      </c>
      <c r="F439" s="89" t="s">
        <v>728</v>
      </c>
      <c r="G439" s="88" t="s">
        <v>721</v>
      </c>
    </row>
    <row r="440" spans="1:7" s="77" customFormat="1" ht="15" hidden="1" customHeight="1">
      <c r="A440" s="83">
        <v>45902</v>
      </c>
      <c r="B440" s="84" t="s">
        <v>705</v>
      </c>
      <c r="C440" s="77" t="s">
        <v>717</v>
      </c>
      <c r="D440" s="85" t="s">
        <v>758</v>
      </c>
      <c r="E440" s="96" t="s">
        <v>764</v>
      </c>
      <c r="F440" s="87" t="s">
        <v>788</v>
      </c>
      <c r="G440" s="88" t="s">
        <v>721</v>
      </c>
    </row>
    <row r="441" spans="1:7" s="77" customFormat="1" ht="15" hidden="1" customHeight="1">
      <c r="A441" s="83">
        <v>45902</v>
      </c>
      <c r="B441" s="84" t="s">
        <v>593</v>
      </c>
      <c r="C441" s="77" t="s">
        <v>717</v>
      </c>
      <c r="D441" s="85" t="s">
        <v>739</v>
      </c>
      <c r="E441" s="96" t="s">
        <v>740</v>
      </c>
      <c r="F441" s="89" t="s">
        <v>742</v>
      </c>
      <c r="G441" s="88" t="s">
        <v>721</v>
      </c>
    </row>
    <row r="442" spans="1:7" s="77" customFormat="1" ht="15" hidden="1" customHeight="1">
      <c r="A442" s="83">
        <v>45902</v>
      </c>
      <c r="B442" s="84" t="s">
        <v>593</v>
      </c>
      <c r="C442" s="77" t="s">
        <v>717</v>
      </c>
      <c r="D442" s="85" t="s">
        <v>739</v>
      </c>
      <c r="E442" s="96" t="s">
        <v>741</v>
      </c>
      <c r="F442" s="89" t="s">
        <v>728</v>
      </c>
      <c r="G442" s="88" t="s">
        <v>721</v>
      </c>
    </row>
    <row r="443" spans="1:7" s="77" customFormat="1" ht="15" hidden="1" customHeight="1">
      <c r="A443" s="83">
        <v>45902</v>
      </c>
      <c r="B443" s="84" t="s">
        <v>593</v>
      </c>
      <c r="C443" s="77" t="s">
        <v>717</v>
      </c>
      <c r="D443" s="85" t="s">
        <v>739</v>
      </c>
      <c r="E443" s="96" t="s">
        <v>743</v>
      </c>
      <c r="F443" s="89" t="s">
        <v>728</v>
      </c>
      <c r="G443" s="88" t="s">
        <v>721</v>
      </c>
    </row>
    <row r="444" spans="1:7" s="77" customFormat="1" ht="15" hidden="1" customHeight="1">
      <c r="A444" s="83">
        <v>45902</v>
      </c>
      <c r="B444" s="84" t="s">
        <v>593</v>
      </c>
      <c r="C444" s="77" t="s">
        <v>717</v>
      </c>
      <c r="D444" s="85" t="s">
        <v>744</v>
      </c>
      <c r="E444" s="96" t="s">
        <v>745</v>
      </c>
      <c r="F444" s="89" t="s">
        <v>728</v>
      </c>
      <c r="G444" s="88" t="s">
        <v>721</v>
      </c>
    </row>
    <row r="445" spans="1:7" s="77" customFormat="1" ht="15" hidden="1" customHeight="1">
      <c r="A445" s="83">
        <v>45902</v>
      </c>
      <c r="B445" s="84" t="s">
        <v>593</v>
      </c>
      <c r="C445" s="77" t="s">
        <v>717</v>
      </c>
      <c r="D445" s="85" t="s">
        <v>744</v>
      </c>
      <c r="E445" s="96" t="s">
        <v>746</v>
      </c>
      <c r="F445" s="89" t="s">
        <v>721</v>
      </c>
      <c r="G445" s="88" t="s">
        <v>721</v>
      </c>
    </row>
    <row r="446" spans="1:7" s="77" customFormat="1" ht="15" hidden="1" customHeight="1">
      <c r="A446" s="83">
        <v>45902</v>
      </c>
      <c r="B446" s="84" t="s">
        <v>593</v>
      </c>
      <c r="C446" s="77" t="s">
        <v>717</v>
      </c>
      <c r="D446" s="85" t="s">
        <v>744</v>
      </c>
      <c r="E446" s="96" t="s">
        <v>747</v>
      </c>
      <c r="F446" s="89" t="s">
        <v>721</v>
      </c>
      <c r="G446" s="88" t="s">
        <v>721</v>
      </c>
    </row>
    <row r="447" spans="1:7" s="77" customFormat="1" ht="15" hidden="1" customHeight="1">
      <c r="A447" s="83">
        <v>45902</v>
      </c>
      <c r="B447" s="84" t="s">
        <v>593</v>
      </c>
      <c r="C447" s="77" t="s">
        <v>717</v>
      </c>
      <c r="D447" s="85" t="s">
        <v>744</v>
      </c>
      <c r="E447" s="96" t="s">
        <v>748</v>
      </c>
      <c r="F447" s="89" t="s">
        <v>728</v>
      </c>
      <c r="G447" s="88" t="s">
        <v>721</v>
      </c>
    </row>
    <row r="448" spans="1:7" s="77" customFormat="1" ht="15" hidden="1" customHeight="1">
      <c r="A448" s="83">
        <v>45902</v>
      </c>
      <c r="B448" s="84" t="s">
        <v>593</v>
      </c>
      <c r="C448" s="77" t="s">
        <v>717</v>
      </c>
      <c r="D448" s="85" t="s">
        <v>744</v>
      </c>
      <c r="E448" s="96" t="s">
        <v>749</v>
      </c>
      <c r="F448" s="89" t="s">
        <v>728</v>
      </c>
      <c r="G448" s="88" t="s">
        <v>721</v>
      </c>
    </row>
    <row r="449" spans="1:11" s="77" customFormat="1" ht="15" hidden="1" customHeight="1">
      <c r="A449" s="83">
        <v>45902</v>
      </c>
      <c r="B449" s="84" t="s">
        <v>593</v>
      </c>
      <c r="C449" s="77" t="s">
        <v>717</v>
      </c>
      <c r="D449" s="85" t="s">
        <v>750</v>
      </c>
      <c r="E449" s="96" t="s">
        <v>751</v>
      </c>
      <c r="F449" s="89" t="s">
        <v>728</v>
      </c>
      <c r="G449" s="88" t="s">
        <v>721</v>
      </c>
    </row>
    <row r="450" spans="1:11" s="77" customFormat="1" ht="15" hidden="1" customHeight="1">
      <c r="A450" s="83">
        <v>45902</v>
      </c>
      <c r="B450" s="84" t="s">
        <v>593</v>
      </c>
      <c r="C450" s="77" t="s">
        <v>717</v>
      </c>
      <c r="D450" s="85" t="s">
        <v>750</v>
      </c>
      <c r="E450" s="96" t="s">
        <v>752</v>
      </c>
      <c r="F450" s="89" t="s">
        <v>728</v>
      </c>
      <c r="G450" s="88" t="s">
        <v>721</v>
      </c>
    </row>
    <row r="451" spans="1:11" s="77" customFormat="1" ht="15" hidden="1" customHeight="1">
      <c r="A451" s="83">
        <v>45902</v>
      </c>
      <c r="B451" s="84" t="s">
        <v>593</v>
      </c>
      <c r="C451" s="77" t="s">
        <v>717</v>
      </c>
      <c r="D451" s="85" t="s">
        <v>750</v>
      </c>
      <c r="E451" s="96" t="s">
        <v>753</v>
      </c>
      <c r="F451" s="89" t="s">
        <v>728</v>
      </c>
      <c r="G451" s="88" t="s">
        <v>721</v>
      </c>
    </row>
    <row r="452" spans="1:11" s="77" customFormat="1" ht="15" hidden="1" customHeight="1">
      <c r="A452" s="83">
        <v>45902</v>
      </c>
      <c r="B452" s="84" t="s">
        <v>593</v>
      </c>
      <c r="C452" s="77" t="s">
        <v>717</v>
      </c>
      <c r="D452" s="85" t="s">
        <v>750</v>
      </c>
      <c r="E452" s="96" t="s">
        <v>754</v>
      </c>
      <c r="F452" s="89" t="s">
        <v>728</v>
      </c>
      <c r="G452" s="88" t="s">
        <v>721</v>
      </c>
    </row>
    <row r="453" spans="1:11" s="77" customFormat="1" ht="15" hidden="1" customHeight="1">
      <c r="A453" s="83">
        <v>45902</v>
      </c>
      <c r="B453" s="84" t="s">
        <v>593</v>
      </c>
      <c r="C453" s="77" t="s">
        <v>717</v>
      </c>
      <c r="D453" s="85" t="s">
        <v>755</v>
      </c>
      <c r="E453" s="86" t="s">
        <v>756</v>
      </c>
      <c r="F453" s="89" t="s">
        <v>728</v>
      </c>
      <c r="G453" s="88" t="s">
        <v>721</v>
      </c>
    </row>
    <row r="454" spans="1:11" s="77" customFormat="1" ht="15" hidden="1" customHeight="1">
      <c r="A454" s="83">
        <v>45902</v>
      </c>
      <c r="B454" s="84" t="s">
        <v>593</v>
      </c>
      <c r="C454" s="77" t="s">
        <v>717</v>
      </c>
      <c r="D454" s="85" t="s">
        <v>755</v>
      </c>
      <c r="E454" s="96" t="s">
        <v>757</v>
      </c>
      <c r="F454" s="89" t="s">
        <v>728</v>
      </c>
      <c r="G454" s="88" t="s">
        <v>721</v>
      </c>
    </row>
    <row r="455" spans="1:11" s="77" customFormat="1" ht="15" hidden="1" customHeight="1">
      <c r="A455" s="83">
        <v>45902</v>
      </c>
      <c r="B455" s="84" t="s">
        <v>593</v>
      </c>
      <c r="C455" s="77" t="s">
        <v>717</v>
      </c>
      <c r="D455" s="85" t="s">
        <v>758</v>
      </c>
      <c r="E455" s="96" t="s">
        <v>759</v>
      </c>
      <c r="F455" s="89" t="s">
        <v>728</v>
      </c>
      <c r="G455" s="88" t="s">
        <v>721</v>
      </c>
    </row>
    <row r="456" spans="1:11" s="77" customFormat="1" ht="15" hidden="1" customHeight="1">
      <c r="A456" s="83">
        <v>45902</v>
      </c>
      <c r="B456" s="84" t="s">
        <v>593</v>
      </c>
      <c r="C456" s="77" t="s">
        <v>717</v>
      </c>
      <c r="D456" s="85" t="s">
        <v>758</v>
      </c>
      <c r="E456" s="96" t="s">
        <v>760</v>
      </c>
      <c r="F456" s="89" t="s">
        <v>728</v>
      </c>
      <c r="G456" s="88" t="s">
        <v>721</v>
      </c>
    </row>
    <row r="457" spans="1:11" s="77" customFormat="1" ht="15" hidden="1" customHeight="1">
      <c r="A457" s="83">
        <v>45902</v>
      </c>
      <c r="B457" s="84" t="s">
        <v>593</v>
      </c>
      <c r="C457" s="77" t="s">
        <v>717</v>
      </c>
      <c r="D457" s="85" t="s">
        <v>758</v>
      </c>
      <c r="E457" s="96" t="s">
        <v>761</v>
      </c>
      <c r="F457" s="89" t="s">
        <v>728</v>
      </c>
      <c r="G457" s="88" t="s">
        <v>721</v>
      </c>
    </row>
    <row r="458" spans="1:11" s="77" customFormat="1" ht="15" hidden="1" customHeight="1">
      <c r="A458" s="83">
        <v>45902</v>
      </c>
      <c r="B458" s="84" t="s">
        <v>593</v>
      </c>
      <c r="C458" s="77" t="s">
        <v>717</v>
      </c>
      <c r="D458" s="85" t="s">
        <v>758</v>
      </c>
      <c r="E458" s="96" t="s">
        <v>762</v>
      </c>
      <c r="F458" s="89" t="s">
        <v>728</v>
      </c>
      <c r="G458" s="88" t="s">
        <v>721</v>
      </c>
    </row>
    <row r="459" spans="1:11" s="77" customFormat="1" ht="15" hidden="1" customHeight="1">
      <c r="A459" s="83">
        <v>45902</v>
      </c>
      <c r="B459" s="84" t="s">
        <v>593</v>
      </c>
      <c r="C459" s="77" t="s">
        <v>717</v>
      </c>
      <c r="D459" s="85" t="s">
        <v>758</v>
      </c>
      <c r="E459" s="96" t="s">
        <v>763</v>
      </c>
      <c r="F459" s="89" t="s">
        <v>728</v>
      </c>
      <c r="G459" s="88" t="s">
        <v>721</v>
      </c>
    </row>
    <row r="460" spans="1:11" ht="15" customHeight="1">
      <c r="A460" s="90">
        <v>45902</v>
      </c>
      <c r="B460" s="91" t="s">
        <v>593</v>
      </c>
      <c r="C460" s="78" t="s">
        <v>717</v>
      </c>
      <c r="D460" s="91" t="s">
        <v>726</v>
      </c>
      <c r="E460" s="78" t="s">
        <v>731</v>
      </c>
      <c r="F460" s="93" t="s">
        <v>789</v>
      </c>
      <c r="G460" s="94">
        <v>1851052</v>
      </c>
      <c r="H460" s="78" t="s">
        <v>354</v>
      </c>
      <c r="I460" s="78" t="s">
        <v>774</v>
      </c>
      <c r="J460" s="78" t="s">
        <v>779</v>
      </c>
      <c r="K460" s="78" t="s">
        <v>354</v>
      </c>
    </row>
    <row r="461" spans="1:11" s="77" customFormat="1" ht="15" hidden="1" customHeight="1">
      <c r="A461" s="83">
        <v>45902</v>
      </c>
      <c r="B461" s="84" t="s">
        <v>593</v>
      </c>
      <c r="C461" s="77" t="s">
        <v>717</v>
      </c>
      <c r="D461" s="85" t="s">
        <v>718</v>
      </c>
      <c r="E461" s="86" t="s">
        <v>719</v>
      </c>
      <c r="F461" s="89" t="s">
        <v>728</v>
      </c>
      <c r="G461" s="88" t="s">
        <v>721</v>
      </c>
    </row>
    <row r="462" spans="1:11" s="77" customFormat="1" ht="15" hidden="1" customHeight="1">
      <c r="A462" s="83">
        <v>45902</v>
      </c>
      <c r="B462" s="84" t="s">
        <v>593</v>
      </c>
      <c r="C462" s="77" t="s">
        <v>717</v>
      </c>
      <c r="D462" s="85" t="s">
        <v>718</v>
      </c>
      <c r="E462" s="86" t="s">
        <v>765</v>
      </c>
      <c r="F462" s="89" t="s">
        <v>728</v>
      </c>
      <c r="G462" s="88" t="s">
        <v>721</v>
      </c>
    </row>
    <row r="463" spans="1:11" s="77" customFormat="1" ht="15" hidden="1" customHeight="1">
      <c r="A463" s="83">
        <v>45902</v>
      </c>
      <c r="B463" s="84" t="s">
        <v>593</v>
      </c>
      <c r="C463" s="77" t="s">
        <v>717</v>
      </c>
      <c r="D463" s="85" t="s">
        <v>718</v>
      </c>
      <c r="E463" s="86" t="s">
        <v>766</v>
      </c>
      <c r="F463" s="89" t="s">
        <v>728</v>
      </c>
      <c r="G463" s="88" t="s">
        <v>721</v>
      </c>
    </row>
    <row r="464" spans="1:11" s="77" customFormat="1" ht="15" hidden="1" customHeight="1">
      <c r="A464" s="83">
        <v>45902</v>
      </c>
      <c r="B464" s="84" t="s">
        <v>593</v>
      </c>
      <c r="C464" s="77" t="s">
        <v>717</v>
      </c>
      <c r="D464" s="85" t="s">
        <v>718</v>
      </c>
      <c r="E464" s="86" t="s">
        <v>767</v>
      </c>
      <c r="F464" s="89" t="s">
        <v>728</v>
      </c>
      <c r="G464" s="88" t="s">
        <v>721</v>
      </c>
    </row>
    <row r="465" spans="1:7" s="77" customFormat="1" ht="15" hidden="1" customHeight="1">
      <c r="A465" s="83">
        <v>45902</v>
      </c>
      <c r="B465" s="84" t="s">
        <v>593</v>
      </c>
      <c r="C465" s="77" t="s">
        <v>717</v>
      </c>
      <c r="D465" s="85" t="s">
        <v>718</v>
      </c>
      <c r="E465" s="86" t="s">
        <v>768</v>
      </c>
      <c r="F465" s="89" t="s">
        <v>728</v>
      </c>
      <c r="G465" s="88" t="s">
        <v>721</v>
      </c>
    </row>
    <row r="466" spans="1:7" s="77" customFormat="1" ht="15" hidden="1" customHeight="1">
      <c r="A466" s="83">
        <v>45902</v>
      </c>
      <c r="B466" s="84" t="s">
        <v>593</v>
      </c>
      <c r="C466" s="77" t="s">
        <v>717</v>
      </c>
      <c r="D466" s="85" t="s">
        <v>718</v>
      </c>
      <c r="E466" s="86" t="s">
        <v>769</v>
      </c>
      <c r="F466" s="89" t="s">
        <v>728</v>
      </c>
      <c r="G466" s="88" t="s">
        <v>721</v>
      </c>
    </row>
    <row r="467" spans="1:7" s="77" customFormat="1" ht="15" hidden="1" customHeight="1">
      <c r="A467" s="83">
        <v>45902</v>
      </c>
      <c r="B467" s="84" t="s">
        <v>593</v>
      </c>
      <c r="C467" s="77" t="s">
        <v>717</v>
      </c>
      <c r="D467" s="85" t="s">
        <v>718</v>
      </c>
      <c r="E467" s="86" t="s">
        <v>770</v>
      </c>
      <c r="F467" s="89" t="s">
        <v>728</v>
      </c>
      <c r="G467" s="88" t="s">
        <v>721</v>
      </c>
    </row>
    <row r="468" spans="1:7" s="77" customFormat="1" ht="15" hidden="1" customHeight="1">
      <c r="A468" s="83">
        <v>45902</v>
      </c>
      <c r="B468" s="84" t="s">
        <v>593</v>
      </c>
      <c r="C468" s="77" t="s">
        <v>717</v>
      </c>
      <c r="D468" s="85" t="s">
        <v>718</v>
      </c>
      <c r="E468" s="86" t="s">
        <v>771</v>
      </c>
      <c r="F468" s="89" t="s">
        <v>728</v>
      </c>
      <c r="G468" s="88" t="s">
        <v>721</v>
      </c>
    </row>
    <row r="469" spans="1:7" s="77" customFormat="1" ht="15" hidden="1" customHeight="1">
      <c r="A469" s="83">
        <v>45902</v>
      </c>
      <c r="B469" s="84" t="s">
        <v>593</v>
      </c>
      <c r="C469" s="77" t="s">
        <v>717</v>
      </c>
      <c r="D469" s="85" t="s">
        <v>718</v>
      </c>
      <c r="E469" s="86" t="s">
        <v>772</v>
      </c>
      <c r="F469" s="89" t="s">
        <v>728</v>
      </c>
      <c r="G469" s="88" t="s">
        <v>721</v>
      </c>
    </row>
    <row r="470" spans="1:7" s="77" customFormat="1" ht="15" hidden="1" customHeight="1">
      <c r="A470" s="83">
        <v>45902</v>
      </c>
      <c r="B470" s="84" t="s">
        <v>477</v>
      </c>
      <c r="C470" s="77" t="s">
        <v>717</v>
      </c>
      <c r="D470" s="86" t="s">
        <v>726</v>
      </c>
      <c r="E470" s="95" t="s">
        <v>727</v>
      </c>
      <c r="F470" s="89" t="s">
        <v>721</v>
      </c>
      <c r="G470" s="88" t="s">
        <v>721</v>
      </c>
    </row>
    <row r="471" spans="1:7" s="77" customFormat="1" ht="15" hidden="1" customHeight="1">
      <c r="A471" s="83">
        <v>45902</v>
      </c>
      <c r="B471" s="84" t="s">
        <v>477</v>
      </c>
      <c r="C471" s="77" t="s">
        <v>717</v>
      </c>
      <c r="D471" s="86" t="s">
        <v>726</v>
      </c>
      <c r="E471" s="96" t="s">
        <v>729</v>
      </c>
      <c r="F471" s="89" t="s">
        <v>721</v>
      </c>
      <c r="G471" s="88" t="s">
        <v>721</v>
      </c>
    </row>
    <row r="472" spans="1:7" s="77" customFormat="1" ht="15" hidden="1" customHeight="1">
      <c r="A472" s="83">
        <v>45902</v>
      </c>
      <c r="B472" s="84" t="s">
        <v>477</v>
      </c>
      <c r="C472" s="77" t="s">
        <v>717</v>
      </c>
      <c r="D472" s="86" t="s">
        <v>726</v>
      </c>
      <c r="E472" s="96" t="s">
        <v>730</v>
      </c>
      <c r="F472" s="89" t="s">
        <v>728</v>
      </c>
      <c r="G472" s="88" t="s">
        <v>721</v>
      </c>
    </row>
    <row r="473" spans="1:7" s="77" customFormat="1" ht="15" hidden="1" customHeight="1">
      <c r="A473" s="83">
        <v>45902</v>
      </c>
      <c r="B473" s="84" t="s">
        <v>477</v>
      </c>
      <c r="C473" s="77" t="s">
        <v>717</v>
      </c>
      <c r="D473" s="86" t="s">
        <v>726</v>
      </c>
      <c r="E473" s="96" t="s">
        <v>731</v>
      </c>
      <c r="F473" s="89" t="s">
        <v>728</v>
      </c>
      <c r="G473" s="88" t="s">
        <v>721</v>
      </c>
    </row>
    <row r="474" spans="1:7" s="77" customFormat="1" ht="15" hidden="1" customHeight="1">
      <c r="A474" s="83">
        <v>45902</v>
      </c>
      <c r="B474" s="84" t="s">
        <v>477</v>
      </c>
      <c r="C474" s="77" t="s">
        <v>717</v>
      </c>
      <c r="D474" s="86" t="s">
        <v>726</v>
      </c>
      <c r="E474" s="96" t="s">
        <v>732</v>
      </c>
      <c r="F474" s="89" t="s">
        <v>728</v>
      </c>
      <c r="G474" s="88" t="s">
        <v>721</v>
      </c>
    </row>
    <row r="475" spans="1:7" s="77" customFormat="1" ht="15" hidden="1" customHeight="1">
      <c r="A475" s="83">
        <v>45902</v>
      </c>
      <c r="B475" s="84" t="s">
        <v>477</v>
      </c>
      <c r="C475" s="77" t="s">
        <v>717</v>
      </c>
      <c r="D475" s="86" t="s">
        <v>726</v>
      </c>
      <c r="E475" s="96" t="s">
        <v>733</v>
      </c>
      <c r="F475" s="89" t="s">
        <v>728</v>
      </c>
      <c r="G475" s="88" t="s">
        <v>721</v>
      </c>
    </row>
    <row r="476" spans="1:7" s="77" customFormat="1" ht="15" hidden="1" customHeight="1">
      <c r="A476" s="83">
        <v>45902</v>
      </c>
      <c r="B476" s="84" t="s">
        <v>477</v>
      </c>
      <c r="C476" s="77" t="s">
        <v>717</v>
      </c>
      <c r="D476" s="86" t="s">
        <v>726</v>
      </c>
      <c r="E476" s="96" t="s">
        <v>734</v>
      </c>
      <c r="F476" s="89" t="s">
        <v>728</v>
      </c>
      <c r="G476" s="88" t="s">
        <v>721</v>
      </c>
    </row>
    <row r="477" spans="1:7" s="77" customFormat="1" ht="15" hidden="1" customHeight="1">
      <c r="A477" s="83">
        <v>45902</v>
      </c>
      <c r="B477" s="84" t="s">
        <v>477</v>
      </c>
      <c r="C477" s="77" t="s">
        <v>717</v>
      </c>
      <c r="D477" s="86" t="s">
        <v>726</v>
      </c>
      <c r="E477" s="96" t="s">
        <v>735</v>
      </c>
      <c r="F477" s="89" t="s">
        <v>728</v>
      </c>
      <c r="G477" s="88" t="s">
        <v>721</v>
      </c>
    </row>
    <row r="478" spans="1:7" s="77" customFormat="1" ht="15" hidden="1" customHeight="1">
      <c r="A478" s="83">
        <v>45902</v>
      </c>
      <c r="B478" s="84" t="s">
        <v>477</v>
      </c>
      <c r="C478" s="77" t="s">
        <v>717</v>
      </c>
      <c r="D478" s="86" t="s">
        <v>736</v>
      </c>
      <c r="E478" s="96" t="s">
        <v>737</v>
      </c>
      <c r="F478" s="89" t="s">
        <v>721</v>
      </c>
      <c r="G478" s="88" t="s">
        <v>721</v>
      </c>
    </row>
    <row r="479" spans="1:7" s="77" customFormat="1" ht="15" hidden="1" customHeight="1">
      <c r="A479" s="83">
        <v>45902</v>
      </c>
      <c r="B479" s="84" t="s">
        <v>477</v>
      </c>
      <c r="C479" s="77" t="s">
        <v>717</v>
      </c>
      <c r="D479" s="86" t="s">
        <v>736</v>
      </c>
      <c r="E479" s="96" t="s">
        <v>738</v>
      </c>
      <c r="F479" s="89" t="s">
        <v>721</v>
      </c>
      <c r="G479" s="88" t="s">
        <v>721</v>
      </c>
    </row>
    <row r="480" spans="1:7" s="77" customFormat="1" ht="15" hidden="1" customHeight="1">
      <c r="A480" s="83">
        <v>45902</v>
      </c>
      <c r="B480" s="84" t="s">
        <v>477</v>
      </c>
      <c r="C480" s="77" t="s">
        <v>717</v>
      </c>
      <c r="D480" s="85" t="s">
        <v>739</v>
      </c>
      <c r="E480" s="96" t="s">
        <v>740</v>
      </c>
      <c r="F480" s="89" t="s">
        <v>728</v>
      </c>
      <c r="G480" s="88" t="s">
        <v>721</v>
      </c>
    </row>
    <row r="481" spans="1:7" s="77" customFormat="1" ht="15" hidden="1" customHeight="1">
      <c r="A481" s="83">
        <v>45902</v>
      </c>
      <c r="B481" s="84" t="s">
        <v>477</v>
      </c>
      <c r="C481" s="77" t="s">
        <v>717</v>
      </c>
      <c r="D481" s="85" t="s">
        <v>739</v>
      </c>
      <c r="E481" s="96" t="s">
        <v>741</v>
      </c>
      <c r="F481" s="89" t="s">
        <v>742</v>
      </c>
      <c r="G481" s="88" t="s">
        <v>721</v>
      </c>
    </row>
    <row r="482" spans="1:7" s="77" customFormat="1" ht="15" hidden="1" customHeight="1">
      <c r="A482" s="83">
        <v>45902</v>
      </c>
      <c r="B482" s="84" t="s">
        <v>477</v>
      </c>
      <c r="C482" s="77" t="s">
        <v>717</v>
      </c>
      <c r="D482" s="85" t="s">
        <v>739</v>
      </c>
      <c r="E482" s="96" t="s">
        <v>743</v>
      </c>
      <c r="F482" s="89" t="s">
        <v>728</v>
      </c>
      <c r="G482" s="88" t="s">
        <v>721</v>
      </c>
    </row>
    <row r="483" spans="1:7" s="77" customFormat="1" ht="15" hidden="1" customHeight="1">
      <c r="A483" s="83">
        <v>45902</v>
      </c>
      <c r="B483" s="84" t="s">
        <v>477</v>
      </c>
      <c r="C483" s="77" t="s">
        <v>717</v>
      </c>
      <c r="D483" s="85" t="s">
        <v>744</v>
      </c>
      <c r="E483" s="96" t="s">
        <v>745</v>
      </c>
      <c r="F483" s="89" t="s">
        <v>728</v>
      </c>
      <c r="G483" s="88" t="s">
        <v>721</v>
      </c>
    </row>
    <row r="484" spans="1:7" s="77" customFormat="1" ht="15" hidden="1" customHeight="1">
      <c r="A484" s="83">
        <v>45902</v>
      </c>
      <c r="B484" s="84" t="s">
        <v>477</v>
      </c>
      <c r="C484" s="77" t="s">
        <v>717</v>
      </c>
      <c r="D484" s="85" t="s">
        <v>744</v>
      </c>
      <c r="E484" s="96" t="s">
        <v>746</v>
      </c>
      <c r="F484" s="89" t="s">
        <v>728</v>
      </c>
      <c r="G484" s="88" t="s">
        <v>721</v>
      </c>
    </row>
    <row r="485" spans="1:7" s="77" customFormat="1" ht="15" hidden="1" customHeight="1">
      <c r="A485" s="83">
        <v>45902</v>
      </c>
      <c r="B485" s="84" t="s">
        <v>477</v>
      </c>
      <c r="C485" s="77" t="s">
        <v>717</v>
      </c>
      <c r="D485" s="85" t="s">
        <v>744</v>
      </c>
      <c r="E485" s="96" t="s">
        <v>747</v>
      </c>
      <c r="F485" s="89" t="s">
        <v>728</v>
      </c>
      <c r="G485" s="88" t="s">
        <v>721</v>
      </c>
    </row>
    <row r="486" spans="1:7" s="77" customFormat="1" ht="15" hidden="1" customHeight="1">
      <c r="A486" s="83">
        <v>45902</v>
      </c>
      <c r="B486" s="84" t="s">
        <v>477</v>
      </c>
      <c r="C486" s="77" t="s">
        <v>717</v>
      </c>
      <c r="D486" s="85" t="s">
        <v>744</v>
      </c>
      <c r="E486" s="96" t="s">
        <v>748</v>
      </c>
      <c r="F486" s="89" t="s">
        <v>728</v>
      </c>
      <c r="G486" s="88" t="s">
        <v>721</v>
      </c>
    </row>
    <row r="487" spans="1:7" s="77" customFormat="1" ht="15" hidden="1" customHeight="1">
      <c r="A487" s="83">
        <v>45902</v>
      </c>
      <c r="B487" s="84" t="s">
        <v>477</v>
      </c>
      <c r="C487" s="77" t="s">
        <v>717</v>
      </c>
      <c r="D487" s="85" t="s">
        <v>744</v>
      </c>
      <c r="E487" s="96" t="s">
        <v>749</v>
      </c>
      <c r="F487" s="89" t="s">
        <v>728</v>
      </c>
      <c r="G487" s="88" t="s">
        <v>721</v>
      </c>
    </row>
    <row r="488" spans="1:7" s="77" customFormat="1" ht="15" hidden="1" customHeight="1">
      <c r="A488" s="83">
        <v>45902</v>
      </c>
      <c r="B488" s="84" t="s">
        <v>477</v>
      </c>
      <c r="C488" s="77" t="s">
        <v>717</v>
      </c>
      <c r="D488" s="85" t="s">
        <v>750</v>
      </c>
      <c r="E488" s="96" t="s">
        <v>751</v>
      </c>
      <c r="F488" s="89" t="s">
        <v>728</v>
      </c>
      <c r="G488" s="88" t="s">
        <v>721</v>
      </c>
    </row>
    <row r="489" spans="1:7" s="77" customFormat="1" ht="15" hidden="1" customHeight="1">
      <c r="A489" s="83">
        <v>45902</v>
      </c>
      <c r="B489" s="84" t="s">
        <v>477</v>
      </c>
      <c r="C489" s="77" t="s">
        <v>717</v>
      </c>
      <c r="D489" s="85" t="s">
        <v>750</v>
      </c>
      <c r="E489" s="96" t="s">
        <v>752</v>
      </c>
      <c r="F489" s="89" t="s">
        <v>728</v>
      </c>
      <c r="G489" s="88" t="s">
        <v>721</v>
      </c>
    </row>
    <row r="490" spans="1:7" s="77" customFormat="1" ht="15" hidden="1" customHeight="1">
      <c r="A490" s="83">
        <v>45902</v>
      </c>
      <c r="B490" s="84" t="s">
        <v>477</v>
      </c>
      <c r="C490" s="77" t="s">
        <v>717</v>
      </c>
      <c r="D490" s="85" t="s">
        <v>750</v>
      </c>
      <c r="E490" s="96" t="s">
        <v>753</v>
      </c>
      <c r="F490" s="89" t="s">
        <v>728</v>
      </c>
      <c r="G490" s="88" t="s">
        <v>721</v>
      </c>
    </row>
    <row r="491" spans="1:7" s="77" customFormat="1" ht="15" hidden="1" customHeight="1">
      <c r="A491" s="83">
        <v>45902</v>
      </c>
      <c r="B491" s="84" t="s">
        <v>477</v>
      </c>
      <c r="C491" s="77" t="s">
        <v>717</v>
      </c>
      <c r="D491" s="85" t="s">
        <v>750</v>
      </c>
      <c r="E491" s="96" t="s">
        <v>754</v>
      </c>
      <c r="F491" s="89" t="s">
        <v>728</v>
      </c>
      <c r="G491" s="88" t="s">
        <v>721</v>
      </c>
    </row>
    <row r="492" spans="1:7" s="77" customFormat="1" ht="15" hidden="1" customHeight="1">
      <c r="A492" s="83">
        <v>45902</v>
      </c>
      <c r="B492" s="84" t="s">
        <v>477</v>
      </c>
      <c r="C492" s="77" t="s">
        <v>717</v>
      </c>
      <c r="D492" s="85" t="s">
        <v>755</v>
      </c>
      <c r="E492" s="86" t="s">
        <v>756</v>
      </c>
      <c r="F492" s="89" t="s">
        <v>728</v>
      </c>
      <c r="G492" s="88" t="s">
        <v>721</v>
      </c>
    </row>
    <row r="493" spans="1:7" s="77" customFormat="1" ht="15" hidden="1" customHeight="1">
      <c r="A493" s="83">
        <v>45902</v>
      </c>
      <c r="B493" s="84" t="s">
        <v>477</v>
      </c>
      <c r="C493" s="77" t="s">
        <v>717</v>
      </c>
      <c r="D493" s="85" t="s">
        <v>755</v>
      </c>
      <c r="E493" s="96" t="s">
        <v>757</v>
      </c>
      <c r="F493" s="89" t="s">
        <v>728</v>
      </c>
      <c r="G493" s="88" t="s">
        <v>721</v>
      </c>
    </row>
    <row r="494" spans="1:7" s="77" customFormat="1" ht="15" hidden="1" customHeight="1">
      <c r="A494" s="83">
        <v>45902</v>
      </c>
      <c r="B494" s="84" t="s">
        <v>477</v>
      </c>
      <c r="C494" s="77" t="s">
        <v>717</v>
      </c>
      <c r="D494" s="85" t="s">
        <v>758</v>
      </c>
      <c r="E494" s="96" t="s">
        <v>759</v>
      </c>
      <c r="F494" s="89" t="s">
        <v>728</v>
      </c>
      <c r="G494" s="88" t="s">
        <v>721</v>
      </c>
    </row>
    <row r="495" spans="1:7" s="77" customFormat="1" ht="15" hidden="1" customHeight="1">
      <c r="A495" s="83">
        <v>45902</v>
      </c>
      <c r="B495" s="84" t="s">
        <v>477</v>
      </c>
      <c r="C495" s="77" t="s">
        <v>717</v>
      </c>
      <c r="D495" s="85" t="s">
        <v>758</v>
      </c>
      <c r="E495" s="96" t="s">
        <v>760</v>
      </c>
      <c r="F495" s="89" t="s">
        <v>728</v>
      </c>
      <c r="G495" s="88" t="s">
        <v>721</v>
      </c>
    </row>
    <row r="496" spans="1:7" s="77" customFormat="1" ht="15" hidden="1" customHeight="1">
      <c r="A496" s="83">
        <v>45902</v>
      </c>
      <c r="B496" s="84" t="s">
        <v>477</v>
      </c>
      <c r="C496" s="77" t="s">
        <v>717</v>
      </c>
      <c r="D496" s="85" t="s">
        <v>758</v>
      </c>
      <c r="E496" s="96" t="s">
        <v>761</v>
      </c>
      <c r="F496" s="89" t="s">
        <v>728</v>
      </c>
      <c r="G496" s="88" t="s">
        <v>721</v>
      </c>
    </row>
    <row r="497" spans="1:11" s="77" customFormat="1" ht="15" hidden="1" customHeight="1">
      <c r="A497" s="83">
        <v>45902</v>
      </c>
      <c r="B497" s="84" t="s">
        <v>477</v>
      </c>
      <c r="C497" s="77" t="s">
        <v>717</v>
      </c>
      <c r="D497" s="85" t="s">
        <v>758</v>
      </c>
      <c r="E497" s="96" t="s">
        <v>762</v>
      </c>
      <c r="F497" s="89" t="s">
        <v>728</v>
      </c>
      <c r="G497" s="88" t="s">
        <v>721</v>
      </c>
    </row>
    <row r="498" spans="1:11" s="77" customFormat="1" ht="15" hidden="1" customHeight="1">
      <c r="A498" s="83">
        <v>45902</v>
      </c>
      <c r="B498" s="84" t="s">
        <v>477</v>
      </c>
      <c r="C498" s="77" t="s">
        <v>717</v>
      </c>
      <c r="D498" s="85" t="s">
        <v>758</v>
      </c>
      <c r="E498" s="96" t="s">
        <v>763</v>
      </c>
      <c r="F498" s="89" t="s">
        <v>728</v>
      </c>
      <c r="G498" s="88" t="s">
        <v>721</v>
      </c>
    </row>
    <row r="499" spans="1:11" s="77" customFormat="1" ht="15" hidden="1" customHeight="1">
      <c r="A499" s="83">
        <v>45902</v>
      </c>
      <c r="B499" s="84" t="s">
        <v>593</v>
      </c>
      <c r="C499" s="77" t="s">
        <v>717</v>
      </c>
      <c r="D499" s="86" t="s">
        <v>726</v>
      </c>
      <c r="E499" s="96" t="s">
        <v>734</v>
      </c>
      <c r="F499" s="89" t="s">
        <v>780</v>
      </c>
      <c r="G499" s="97" t="s">
        <v>721</v>
      </c>
    </row>
    <row r="500" spans="1:11" s="77" customFormat="1" ht="15" hidden="1" customHeight="1">
      <c r="A500" s="83">
        <v>45902</v>
      </c>
      <c r="B500" s="84" t="s">
        <v>477</v>
      </c>
      <c r="C500" s="77" t="s">
        <v>717</v>
      </c>
      <c r="D500" s="85" t="s">
        <v>718</v>
      </c>
      <c r="E500" s="86" t="s">
        <v>719</v>
      </c>
      <c r="F500" s="89" t="s">
        <v>728</v>
      </c>
      <c r="G500" s="88" t="s">
        <v>721</v>
      </c>
    </row>
    <row r="501" spans="1:11" s="77" customFormat="1" ht="15" hidden="1" customHeight="1">
      <c r="A501" s="83">
        <v>45902</v>
      </c>
      <c r="B501" s="84" t="s">
        <v>477</v>
      </c>
      <c r="C501" s="77" t="s">
        <v>717</v>
      </c>
      <c r="D501" s="85" t="s">
        <v>718</v>
      </c>
      <c r="E501" s="86" t="s">
        <v>765</v>
      </c>
      <c r="F501" s="89" t="s">
        <v>728</v>
      </c>
      <c r="G501" s="88" t="s">
        <v>721</v>
      </c>
    </row>
    <row r="502" spans="1:11" s="77" customFormat="1" ht="15" hidden="1" customHeight="1">
      <c r="A502" s="83">
        <v>45902</v>
      </c>
      <c r="B502" s="84" t="s">
        <v>477</v>
      </c>
      <c r="C502" s="77" t="s">
        <v>717</v>
      </c>
      <c r="D502" s="85" t="s">
        <v>718</v>
      </c>
      <c r="E502" s="86" t="s">
        <v>766</v>
      </c>
      <c r="F502" s="89" t="s">
        <v>728</v>
      </c>
      <c r="G502" s="88" t="s">
        <v>721</v>
      </c>
    </row>
    <row r="503" spans="1:11" s="77" customFormat="1" ht="15" hidden="1" customHeight="1">
      <c r="A503" s="83">
        <v>45902</v>
      </c>
      <c r="B503" s="84" t="s">
        <v>477</v>
      </c>
      <c r="C503" s="77" t="s">
        <v>717</v>
      </c>
      <c r="D503" s="85" t="s">
        <v>718</v>
      </c>
      <c r="E503" s="86" t="s">
        <v>767</v>
      </c>
      <c r="F503" s="89" t="s">
        <v>728</v>
      </c>
      <c r="G503" s="88" t="s">
        <v>721</v>
      </c>
    </row>
    <row r="504" spans="1:11" s="77" customFormat="1" ht="15" hidden="1" customHeight="1">
      <c r="A504" s="83">
        <v>45902</v>
      </c>
      <c r="B504" s="84" t="s">
        <v>477</v>
      </c>
      <c r="C504" s="77" t="s">
        <v>717</v>
      </c>
      <c r="D504" s="85" t="s">
        <v>718</v>
      </c>
      <c r="E504" s="86" t="s">
        <v>768</v>
      </c>
      <c r="F504" s="89" t="s">
        <v>721</v>
      </c>
      <c r="G504" s="88" t="s">
        <v>721</v>
      </c>
    </row>
    <row r="505" spans="1:11" s="77" customFormat="1" ht="15" hidden="1" customHeight="1">
      <c r="A505" s="83">
        <v>45902</v>
      </c>
      <c r="B505" s="84" t="s">
        <v>477</v>
      </c>
      <c r="C505" s="77" t="s">
        <v>717</v>
      </c>
      <c r="D505" s="85" t="s">
        <v>718</v>
      </c>
      <c r="E505" s="86" t="s">
        <v>769</v>
      </c>
      <c r="F505" s="89" t="s">
        <v>728</v>
      </c>
      <c r="G505" s="88" t="s">
        <v>721</v>
      </c>
    </row>
    <row r="506" spans="1:11" s="77" customFormat="1" ht="15" hidden="1" customHeight="1">
      <c r="A506" s="83">
        <v>45902</v>
      </c>
      <c r="B506" s="84" t="s">
        <v>477</v>
      </c>
      <c r="C506" s="77" t="s">
        <v>717</v>
      </c>
      <c r="D506" s="85" t="s">
        <v>718</v>
      </c>
      <c r="E506" s="86" t="s">
        <v>770</v>
      </c>
      <c r="F506" s="89" t="s">
        <v>728</v>
      </c>
      <c r="G506" s="88" t="s">
        <v>721</v>
      </c>
    </row>
    <row r="507" spans="1:11" s="77" customFormat="1" ht="15" hidden="1" customHeight="1">
      <c r="A507" s="83">
        <v>45902</v>
      </c>
      <c r="B507" s="84" t="s">
        <v>477</v>
      </c>
      <c r="C507" s="77" t="s">
        <v>717</v>
      </c>
      <c r="D507" s="85" t="s">
        <v>718</v>
      </c>
      <c r="E507" s="86" t="s">
        <v>771</v>
      </c>
      <c r="F507" s="89" t="s">
        <v>728</v>
      </c>
      <c r="G507" s="88" t="s">
        <v>721</v>
      </c>
    </row>
    <row r="508" spans="1:11" s="77" customFormat="1" ht="15" hidden="1" customHeight="1">
      <c r="A508" s="83">
        <v>45902</v>
      </c>
      <c r="B508" s="84" t="s">
        <v>477</v>
      </c>
      <c r="C508" s="77" t="s">
        <v>717</v>
      </c>
      <c r="D508" s="85" t="s">
        <v>718</v>
      </c>
      <c r="E508" s="86" t="s">
        <v>772</v>
      </c>
      <c r="F508" s="89" t="s">
        <v>728</v>
      </c>
      <c r="G508" s="88" t="s">
        <v>721</v>
      </c>
    </row>
    <row r="509" spans="1:11" s="77" customFormat="1" ht="15" hidden="1" customHeight="1">
      <c r="A509" s="83">
        <v>45902</v>
      </c>
      <c r="B509" s="84" t="s">
        <v>356</v>
      </c>
      <c r="C509" s="77" t="s">
        <v>717</v>
      </c>
      <c r="D509" s="86" t="s">
        <v>726</v>
      </c>
      <c r="E509" s="95" t="s">
        <v>727</v>
      </c>
      <c r="F509" s="89" t="s">
        <v>728</v>
      </c>
      <c r="G509" s="88" t="s">
        <v>721</v>
      </c>
    </row>
    <row r="510" spans="1:11" s="77" customFormat="1" ht="15" hidden="1" customHeight="1">
      <c r="A510" s="83">
        <v>45902</v>
      </c>
      <c r="B510" s="84" t="s">
        <v>356</v>
      </c>
      <c r="C510" s="77" t="s">
        <v>717</v>
      </c>
      <c r="D510" s="86" t="s">
        <v>726</v>
      </c>
      <c r="E510" s="96" t="s">
        <v>729</v>
      </c>
      <c r="F510" s="89" t="s">
        <v>728</v>
      </c>
      <c r="G510" s="88" t="s">
        <v>721</v>
      </c>
    </row>
    <row r="511" spans="1:11" s="77" customFormat="1" ht="15" hidden="1" customHeight="1">
      <c r="A511" s="83">
        <v>45902</v>
      </c>
      <c r="B511" s="84" t="s">
        <v>356</v>
      </c>
      <c r="C511" s="77" t="s">
        <v>717</v>
      </c>
      <c r="D511" s="86" t="s">
        <v>726</v>
      </c>
      <c r="E511" s="96" t="s">
        <v>730</v>
      </c>
      <c r="F511" s="89" t="s">
        <v>728</v>
      </c>
      <c r="G511" s="88" t="s">
        <v>721</v>
      </c>
    </row>
    <row r="512" spans="1:11" ht="15" customHeight="1">
      <c r="A512" s="90">
        <v>45902</v>
      </c>
      <c r="B512" s="91" t="s">
        <v>593</v>
      </c>
      <c r="C512" s="78" t="s">
        <v>717</v>
      </c>
      <c r="D512" s="91" t="s">
        <v>736</v>
      </c>
      <c r="E512" s="78" t="s">
        <v>738</v>
      </c>
      <c r="F512" s="93" t="s">
        <v>790</v>
      </c>
      <c r="G512" s="94">
        <v>1851055</v>
      </c>
      <c r="H512" s="78" t="s">
        <v>354</v>
      </c>
      <c r="I512" s="78" t="s">
        <v>774</v>
      </c>
      <c r="J512" s="78" t="s">
        <v>791</v>
      </c>
      <c r="K512" s="78" t="s">
        <v>354</v>
      </c>
    </row>
    <row r="513" spans="1:7" s="77" customFormat="1" ht="15" hidden="1" customHeight="1">
      <c r="A513" s="83">
        <v>45902</v>
      </c>
      <c r="B513" s="84" t="s">
        <v>593</v>
      </c>
      <c r="C513" s="77" t="s">
        <v>717</v>
      </c>
      <c r="D513" s="85" t="s">
        <v>758</v>
      </c>
      <c r="E513" s="96" t="s">
        <v>764</v>
      </c>
      <c r="F513" s="87" t="s">
        <v>788</v>
      </c>
      <c r="G513" s="88" t="s">
        <v>721</v>
      </c>
    </row>
    <row r="514" spans="1:7" s="77" customFormat="1" ht="15" hidden="1" customHeight="1">
      <c r="A514" s="83">
        <v>45902</v>
      </c>
      <c r="B514" s="84" t="s">
        <v>356</v>
      </c>
      <c r="C514" s="77" t="s">
        <v>717</v>
      </c>
      <c r="D514" s="86" t="s">
        <v>726</v>
      </c>
      <c r="E514" s="96" t="s">
        <v>733</v>
      </c>
      <c r="F514" s="89" t="s">
        <v>728</v>
      </c>
      <c r="G514" s="88" t="s">
        <v>721</v>
      </c>
    </row>
    <row r="515" spans="1:7" s="77" customFormat="1" ht="15" hidden="1" customHeight="1">
      <c r="A515" s="83">
        <v>45902</v>
      </c>
      <c r="B515" s="84" t="s">
        <v>356</v>
      </c>
      <c r="C515" s="77" t="s">
        <v>717</v>
      </c>
      <c r="D515" s="86" t="s">
        <v>726</v>
      </c>
      <c r="E515" s="96" t="s">
        <v>734</v>
      </c>
      <c r="F515" s="89" t="s">
        <v>728</v>
      </c>
      <c r="G515" s="88" t="s">
        <v>721</v>
      </c>
    </row>
    <row r="516" spans="1:7" s="77" customFormat="1" ht="15" hidden="1" customHeight="1">
      <c r="A516" s="83">
        <v>45902</v>
      </c>
      <c r="B516" s="84" t="s">
        <v>477</v>
      </c>
      <c r="C516" s="77" t="s">
        <v>717</v>
      </c>
      <c r="D516" s="85" t="s">
        <v>758</v>
      </c>
      <c r="E516" s="96" t="s">
        <v>764</v>
      </c>
      <c r="F516" s="89" t="s">
        <v>792</v>
      </c>
      <c r="G516" s="88" t="s">
        <v>721</v>
      </c>
    </row>
    <row r="517" spans="1:7" s="77" customFormat="1" ht="15" hidden="1" customHeight="1">
      <c r="A517" s="83">
        <v>45902</v>
      </c>
      <c r="B517" s="84" t="s">
        <v>356</v>
      </c>
      <c r="C517" s="77" t="s">
        <v>717</v>
      </c>
      <c r="D517" s="86" t="s">
        <v>736</v>
      </c>
      <c r="E517" s="96" t="s">
        <v>737</v>
      </c>
      <c r="F517" s="89" t="s">
        <v>728</v>
      </c>
      <c r="G517" s="88" t="s">
        <v>721</v>
      </c>
    </row>
    <row r="518" spans="1:7" s="77" customFormat="1" ht="15" hidden="1" customHeight="1">
      <c r="A518" s="83">
        <v>45902</v>
      </c>
      <c r="B518" s="84" t="s">
        <v>356</v>
      </c>
      <c r="C518" s="77" t="s">
        <v>717</v>
      </c>
      <c r="D518" s="86" t="s">
        <v>736</v>
      </c>
      <c r="E518" s="96" t="s">
        <v>738</v>
      </c>
      <c r="F518" s="89" t="s">
        <v>728</v>
      </c>
      <c r="G518" s="88" t="s">
        <v>721</v>
      </c>
    </row>
    <row r="519" spans="1:7" s="77" customFormat="1" ht="15" hidden="1" customHeight="1">
      <c r="A519" s="83">
        <v>45902</v>
      </c>
      <c r="B519" s="84" t="s">
        <v>356</v>
      </c>
      <c r="C519" s="77" t="s">
        <v>717</v>
      </c>
      <c r="D519" s="85" t="s">
        <v>739</v>
      </c>
      <c r="E519" s="96" t="s">
        <v>740</v>
      </c>
      <c r="F519" s="89" t="s">
        <v>728</v>
      </c>
      <c r="G519" s="88" t="s">
        <v>721</v>
      </c>
    </row>
    <row r="520" spans="1:7" s="77" customFormat="1" ht="15" hidden="1" customHeight="1">
      <c r="A520" s="83">
        <v>45902</v>
      </c>
      <c r="B520" s="84" t="s">
        <v>356</v>
      </c>
      <c r="C520" s="77" t="s">
        <v>717</v>
      </c>
      <c r="D520" s="85" t="s">
        <v>739</v>
      </c>
      <c r="E520" s="96" t="s">
        <v>741</v>
      </c>
      <c r="F520" s="89" t="s">
        <v>793</v>
      </c>
      <c r="G520" s="88" t="s">
        <v>721</v>
      </c>
    </row>
    <row r="521" spans="1:7" s="77" customFormat="1" ht="15" hidden="1" customHeight="1">
      <c r="A521" s="83">
        <v>45902</v>
      </c>
      <c r="B521" s="84" t="s">
        <v>356</v>
      </c>
      <c r="C521" s="77" t="s">
        <v>717</v>
      </c>
      <c r="D521" s="85" t="s">
        <v>739</v>
      </c>
      <c r="E521" s="96" t="s">
        <v>743</v>
      </c>
      <c r="F521" s="89" t="s">
        <v>728</v>
      </c>
      <c r="G521" s="88" t="s">
        <v>721</v>
      </c>
    </row>
    <row r="522" spans="1:7" s="77" customFormat="1" ht="15" hidden="1" customHeight="1">
      <c r="A522" s="83">
        <v>45902</v>
      </c>
      <c r="B522" s="84" t="s">
        <v>356</v>
      </c>
      <c r="C522" s="77" t="s">
        <v>717</v>
      </c>
      <c r="D522" s="85" t="s">
        <v>744</v>
      </c>
      <c r="E522" s="96" t="s">
        <v>745</v>
      </c>
      <c r="F522" s="89" t="s">
        <v>728</v>
      </c>
      <c r="G522" s="88" t="s">
        <v>721</v>
      </c>
    </row>
    <row r="523" spans="1:7" s="77" customFormat="1" ht="15" hidden="1" customHeight="1">
      <c r="A523" s="83">
        <v>45902</v>
      </c>
      <c r="B523" s="84" t="s">
        <v>356</v>
      </c>
      <c r="C523" s="77" t="s">
        <v>717</v>
      </c>
      <c r="D523" s="85" t="s">
        <v>744</v>
      </c>
      <c r="E523" s="96" t="s">
        <v>746</v>
      </c>
      <c r="F523" s="89" t="s">
        <v>728</v>
      </c>
      <c r="G523" s="88" t="s">
        <v>721</v>
      </c>
    </row>
    <row r="524" spans="1:7" s="77" customFormat="1" ht="15" hidden="1" customHeight="1">
      <c r="A524" s="83">
        <v>45902</v>
      </c>
      <c r="B524" s="84" t="s">
        <v>356</v>
      </c>
      <c r="C524" s="77" t="s">
        <v>717</v>
      </c>
      <c r="D524" s="85" t="s">
        <v>744</v>
      </c>
      <c r="E524" s="96" t="s">
        <v>747</v>
      </c>
      <c r="F524" s="89" t="s">
        <v>728</v>
      </c>
      <c r="G524" s="88" t="s">
        <v>721</v>
      </c>
    </row>
    <row r="525" spans="1:7" s="77" customFormat="1" ht="15" hidden="1" customHeight="1">
      <c r="A525" s="83">
        <v>45902</v>
      </c>
      <c r="B525" s="84" t="s">
        <v>356</v>
      </c>
      <c r="C525" s="77" t="s">
        <v>717</v>
      </c>
      <c r="D525" s="85" t="s">
        <v>744</v>
      </c>
      <c r="E525" s="96" t="s">
        <v>748</v>
      </c>
      <c r="F525" s="89" t="s">
        <v>728</v>
      </c>
      <c r="G525" s="88" t="s">
        <v>721</v>
      </c>
    </row>
    <row r="526" spans="1:7" s="77" customFormat="1" ht="15" hidden="1" customHeight="1">
      <c r="A526" s="83">
        <v>45902</v>
      </c>
      <c r="B526" s="84" t="s">
        <v>356</v>
      </c>
      <c r="C526" s="77" t="s">
        <v>717</v>
      </c>
      <c r="D526" s="85" t="s">
        <v>744</v>
      </c>
      <c r="E526" s="96" t="s">
        <v>749</v>
      </c>
      <c r="F526" s="89" t="s">
        <v>728</v>
      </c>
      <c r="G526" s="88" t="s">
        <v>721</v>
      </c>
    </row>
    <row r="527" spans="1:7" s="77" customFormat="1" ht="15" hidden="1" customHeight="1">
      <c r="A527" s="83">
        <v>45902</v>
      </c>
      <c r="B527" s="84" t="s">
        <v>356</v>
      </c>
      <c r="C527" s="77" t="s">
        <v>717</v>
      </c>
      <c r="D527" s="85" t="s">
        <v>750</v>
      </c>
      <c r="E527" s="96" t="s">
        <v>751</v>
      </c>
      <c r="F527" s="89" t="s">
        <v>728</v>
      </c>
      <c r="G527" s="88" t="s">
        <v>721</v>
      </c>
    </row>
    <row r="528" spans="1:7" s="77" customFormat="1" ht="15" hidden="1" customHeight="1">
      <c r="A528" s="83">
        <v>45902</v>
      </c>
      <c r="B528" s="84" t="s">
        <v>356</v>
      </c>
      <c r="C528" s="77" t="s">
        <v>717</v>
      </c>
      <c r="D528" s="85" t="s">
        <v>750</v>
      </c>
      <c r="E528" s="96" t="s">
        <v>752</v>
      </c>
      <c r="F528" s="89" t="s">
        <v>728</v>
      </c>
      <c r="G528" s="88" t="s">
        <v>721</v>
      </c>
    </row>
    <row r="529" spans="1:11" s="77" customFormat="1" ht="15" hidden="1" customHeight="1">
      <c r="A529" s="83">
        <v>45902</v>
      </c>
      <c r="B529" s="84" t="s">
        <v>356</v>
      </c>
      <c r="C529" s="77" t="s">
        <v>717</v>
      </c>
      <c r="D529" s="85" t="s">
        <v>750</v>
      </c>
      <c r="E529" s="96" t="s">
        <v>753</v>
      </c>
      <c r="F529" s="89" t="s">
        <v>728</v>
      </c>
      <c r="G529" s="88" t="s">
        <v>721</v>
      </c>
    </row>
    <row r="530" spans="1:11" s="77" customFormat="1" ht="15" hidden="1" customHeight="1">
      <c r="A530" s="83">
        <v>45902</v>
      </c>
      <c r="B530" s="84" t="s">
        <v>356</v>
      </c>
      <c r="C530" s="77" t="s">
        <v>717</v>
      </c>
      <c r="D530" s="85" t="s">
        <v>750</v>
      </c>
      <c r="E530" s="96" t="s">
        <v>754</v>
      </c>
      <c r="F530" s="89" t="s">
        <v>728</v>
      </c>
      <c r="G530" s="88" t="s">
        <v>721</v>
      </c>
    </row>
    <row r="531" spans="1:11" s="77" customFormat="1" ht="15" hidden="1" customHeight="1">
      <c r="A531" s="83">
        <v>45902</v>
      </c>
      <c r="B531" s="84" t="s">
        <v>356</v>
      </c>
      <c r="C531" s="77" t="s">
        <v>717</v>
      </c>
      <c r="D531" s="85" t="s">
        <v>755</v>
      </c>
      <c r="E531" s="86" t="s">
        <v>756</v>
      </c>
      <c r="F531" s="89" t="s">
        <v>728</v>
      </c>
      <c r="G531" s="88" t="s">
        <v>721</v>
      </c>
    </row>
    <row r="532" spans="1:11" s="77" customFormat="1" ht="15" hidden="1" customHeight="1">
      <c r="A532" s="83">
        <v>45902</v>
      </c>
      <c r="B532" s="84" t="s">
        <v>356</v>
      </c>
      <c r="C532" s="77" t="s">
        <v>717</v>
      </c>
      <c r="D532" s="85" t="s">
        <v>755</v>
      </c>
      <c r="E532" s="96" t="s">
        <v>757</v>
      </c>
      <c r="F532" s="89" t="s">
        <v>728</v>
      </c>
      <c r="G532" s="88" t="s">
        <v>721</v>
      </c>
    </row>
    <row r="533" spans="1:11" s="77" customFormat="1" ht="15" hidden="1" customHeight="1">
      <c r="A533" s="83">
        <v>45902</v>
      </c>
      <c r="B533" s="84" t="s">
        <v>356</v>
      </c>
      <c r="C533" s="77" t="s">
        <v>717</v>
      </c>
      <c r="D533" s="85" t="s">
        <v>758</v>
      </c>
      <c r="E533" s="96" t="s">
        <v>759</v>
      </c>
      <c r="F533" s="89" t="s">
        <v>728</v>
      </c>
      <c r="G533" s="88" t="s">
        <v>721</v>
      </c>
    </row>
    <row r="534" spans="1:11" s="77" customFormat="1" ht="15" hidden="1" customHeight="1">
      <c r="A534" s="83">
        <v>45902</v>
      </c>
      <c r="B534" s="84" t="s">
        <v>356</v>
      </c>
      <c r="C534" s="77" t="s">
        <v>717</v>
      </c>
      <c r="D534" s="85" t="s">
        <v>758</v>
      </c>
      <c r="E534" s="96" t="s">
        <v>760</v>
      </c>
      <c r="F534" s="89" t="s">
        <v>728</v>
      </c>
      <c r="G534" s="88" t="s">
        <v>721</v>
      </c>
    </row>
    <row r="535" spans="1:11" s="77" customFormat="1" ht="15" hidden="1" customHeight="1">
      <c r="A535" s="83">
        <v>45902</v>
      </c>
      <c r="B535" s="84" t="s">
        <v>356</v>
      </c>
      <c r="C535" s="77" t="s">
        <v>717</v>
      </c>
      <c r="D535" s="85" t="s">
        <v>758</v>
      </c>
      <c r="E535" s="96" t="s">
        <v>761</v>
      </c>
      <c r="F535" s="89" t="s">
        <v>728</v>
      </c>
      <c r="G535" s="88" t="s">
        <v>721</v>
      </c>
    </row>
    <row r="536" spans="1:11" s="77" customFormat="1" ht="15" hidden="1" customHeight="1">
      <c r="A536" s="83">
        <v>45902</v>
      </c>
      <c r="B536" s="84" t="s">
        <v>356</v>
      </c>
      <c r="C536" s="77" t="s">
        <v>717</v>
      </c>
      <c r="D536" s="85" t="s">
        <v>758</v>
      </c>
      <c r="E536" s="96" t="s">
        <v>762</v>
      </c>
      <c r="F536" s="89" t="s">
        <v>728</v>
      </c>
      <c r="G536" s="88" t="s">
        <v>721</v>
      </c>
    </row>
    <row r="537" spans="1:11" s="77" customFormat="1" ht="15" hidden="1" customHeight="1">
      <c r="A537" s="83">
        <v>45902</v>
      </c>
      <c r="B537" s="84" t="s">
        <v>356</v>
      </c>
      <c r="C537" s="77" t="s">
        <v>717</v>
      </c>
      <c r="D537" s="85" t="s">
        <v>758</v>
      </c>
      <c r="E537" s="96" t="s">
        <v>763</v>
      </c>
      <c r="F537" s="89" t="s">
        <v>728</v>
      </c>
      <c r="G537" s="88" t="s">
        <v>721</v>
      </c>
    </row>
    <row r="538" spans="1:11" s="77" customFormat="1" ht="15" hidden="1" customHeight="1">
      <c r="A538" s="83">
        <v>45902</v>
      </c>
      <c r="B538" s="84" t="s">
        <v>356</v>
      </c>
      <c r="C538" s="77" t="s">
        <v>717</v>
      </c>
      <c r="D538" s="85" t="s">
        <v>758</v>
      </c>
      <c r="E538" s="96" t="s">
        <v>764</v>
      </c>
      <c r="F538" s="89" t="s">
        <v>728</v>
      </c>
      <c r="G538" s="88" t="s">
        <v>721</v>
      </c>
    </row>
    <row r="539" spans="1:11" ht="15" customHeight="1">
      <c r="A539" s="90">
        <v>45902</v>
      </c>
      <c r="B539" s="91" t="s">
        <v>356</v>
      </c>
      <c r="C539" s="78" t="s">
        <v>717</v>
      </c>
      <c r="D539" s="91" t="s">
        <v>726</v>
      </c>
      <c r="E539" s="78" t="s">
        <v>731</v>
      </c>
      <c r="F539" s="93" t="s">
        <v>794</v>
      </c>
      <c r="G539" s="94">
        <v>1851058</v>
      </c>
      <c r="H539" s="78" t="s">
        <v>354</v>
      </c>
      <c r="I539" s="78" t="s">
        <v>774</v>
      </c>
      <c r="J539" s="78" t="s">
        <v>779</v>
      </c>
      <c r="K539" s="78" t="s">
        <v>354</v>
      </c>
    </row>
    <row r="540" spans="1:11" s="77" customFormat="1" ht="15" hidden="1" customHeight="1">
      <c r="A540" s="83">
        <v>45902</v>
      </c>
      <c r="B540" s="84" t="s">
        <v>356</v>
      </c>
      <c r="C540" s="77" t="s">
        <v>717</v>
      </c>
      <c r="D540" s="85" t="s">
        <v>718</v>
      </c>
      <c r="E540" s="86" t="s">
        <v>765</v>
      </c>
      <c r="F540" s="89" t="s">
        <v>728</v>
      </c>
      <c r="G540" s="88" t="s">
        <v>721</v>
      </c>
    </row>
    <row r="541" spans="1:11" s="77" customFormat="1" ht="15" hidden="1" customHeight="1">
      <c r="A541" s="83">
        <v>45902</v>
      </c>
      <c r="B541" s="84" t="s">
        <v>356</v>
      </c>
      <c r="C541" s="77" t="s">
        <v>717</v>
      </c>
      <c r="D541" s="85" t="s">
        <v>718</v>
      </c>
      <c r="E541" s="86" t="s">
        <v>766</v>
      </c>
      <c r="F541" s="89" t="s">
        <v>728</v>
      </c>
      <c r="G541" s="88" t="s">
        <v>721</v>
      </c>
    </row>
    <row r="542" spans="1:11" ht="15" customHeight="1">
      <c r="A542" s="90">
        <v>45902</v>
      </c>
      <c r="B542" s="91" t="s">
        <v>356</v>
      </c>
      <c r="C542" s="78" t="s">
        <v>717</v>
      </c>
      <c r="D542" s="91" t="s">
        <v>726</v>
      </c>
      <c r="E542" s="78" t="s">
        <v>732</v>
      </c>
      <c r="F542" s="93" t="s">
        <v>795</v>
      </c>
      <c r="G542" s="94">
        <v>1851059</v>
      </c>
      <c r="H542" s="78" t="s">
        <v>354</v>
      </c>
      <c r="I542" s="78" t="s">
        <v>774</v>
      </c>
      <c r="J542" s="78" t="s">
        <v>791</v>
      </c>
      <c r="K542" s="78" t="s">
        <v>354</v>
      </c>
    </row>
    <row r="543" spans="1:11" s="77" customFormat="1" ht="15" hidden="1" customHeight="1">
      <c r="A543" s="83">
        <v>45902</v>
      </c>
      <c r="B543" s="84" t="s">
        <v>356</v>
      </c>
      <c r="C543" s="77" t="s">
        <v>717</v>
      </c>
      <c r="D543" s="85" t="s">
        <v>718</v>
      </c>
      <c r="E543" s="86" t="s">
        <v>768</v>
      </c>
      <c r="F543" s="89" t="s">
        <v>728</v>
      </c>
      <c r="G543" s="88" t="s">
        <v>721</v>
      </c>
    </row>
    <row r="544" spans="1:11" s="77" customFormat="1" ht="15" hidden="1" customHeight="1">
      <c r="A544" s="83">
        <v>45902</v>
      </c>
      <c r="B544" s="84" t="s">
        <v>356</v>
      </c>
      <c r="C544" s="77" t="s">
        <v>717</v>
      </c>
      <c r="D544" s="85" t="s">
        <v>718</v>
      </c>
      <c r="E544" s="86" t="s">
        <v>769</v>
      </c>
      <c r="F544" s="89" t="s">
        <v>728</v>
      </c>
      <c r="G544" s="88" t="s">
        <v>721</v>
      </c>
    </row>
    <row r="545" spans="1:11" s="77" customFormat="1" ht="15" hidden="1" customHeight="1">
      <c r="A545" s="83">
        <v>45902</v>
      </c>
      <c r="B545" s="84" t="s">
        <v>356</v>
      </c>
      <c r="C545" s="77" t="s">
        <v>717</v>
      </c>
      <c r="D545" s="85" t="s">
        <v>718</v>
      </c>
      <c r="E545" s="86" t="s">
        <v>770</v>
      </c>
      <c r="F545" s="89" t="s">
        <v>728</v>
      </c>
      <c r="G545" s="88" t="s">
        <v>721</v>
      </c>
    </row>
    <row r="546" spans="1:11" s="77" customFormat="1" ht="15" hidden="1" customHeight="1">
      <c r="A546" s="83">
        <v>45902</v>
      </c>
      <c r="B546" s="84" t="s">
        <v>356</v>
      </c>
      <c r="C546" s="77" t="s">
        <v>717</v>
      </c>
      <c r="D546" s="85" t="s">
        <v>718</v>
      </c>
      <c r="E546" s="86" t="s">
        <v>771</v>
      </c>
      <c r="F546" s="89" t="s">
        <v>728</v>
      </c>
      <c r="G546" s="88" t="s">
        <v>721</v>
      </c>
    </row>
    <row r="547" spans="1:11" s="77" customFormat="1" ht="15" hidden="1" customHeight="1">
      <c r="A547" s="83">
        <v>45902</v>
      </c>
      <c r="B547" s="84" t="s">
        <v>356</v>
      </c>
      <c r="C547" s="77" t="s">
        <v>717</v>
      </c>
      <c r="D547" s="85" t="s">
        <v>718</v>
      </c>
      <c r="E547" s="86" t="s">
        <v>772</v>
      </c>
      <c r="F547" s="89" t="s">
        <v>728</v>
      </c>
      <c r="G547" s="88" t="s">
        <v>721</v>
      </c>
    </row>
    <row r="548" spans="1:11" s="77" customFormat="1" ht="15" hidden="1" customHeight="1">
      <c r="A548" s="83">
        <v>45902</v>
      </c>
      <c r="B548" s="84" t="s">
        <v>565</v>
      </c>
      <c r="C548" s="77" t="s">
        <v>717</v>
      </c>
      <c r="D548" s="86" t="s">
        <v>726</v>
      </c>
      <c r="E548" s="95" t="s">
        <v>727</v>
      </c>
      <c r="F548" s="89" t="s">
        <v>721</v>
      </c>
      <c r="G548" s="88" t="s">
        <v>721</v>
      </c>
    </row>
    <row r="549" spans="1:11" s="77" customFormat="1" ht="15" hidden="1" customHeight="1">
      <c r="A549" s="83">
        <v>45902</v>
      </c>
      <c r="B549" s="84" t="s">
        <v>565</v>
      </c>
      <c r="C549" s="77" t="s">
        <v>717</v>
      </c>
      <c r="D549" s="86" t="s">
        <v>726</v>
      </c>
      <c r="E549" s="96" t="s">
        <v>729</v>
      </c>
      <c r="F549" s="89" t="s">
        <v>721</v>
      </c>
      <c r="G549" s="88" t="s">
        <v>721</v>
      </c>
    </row>
    <row r="550" spans="1:11" s="77" customFormat="1" ht="15" hidden="1" customHeight="1">
      <c r="A550" s="83">
        <v>45902</v>
      </c>
      <c r="B550" s="84" t="s">
        <v>565</v>
      </c>
      <c r="C550" s="77" t="s">
        <v>717</v>
      </c>
      <c r="D550" s="86" t="s">
        <v>726</v>
      </c>
      <c r="E550" s="96" t="s">
        <v>730</v>
      </c>
      <c r="F550" s="89" t="s">
        <v>728</v>
      </c>
      <c r="G550" s="88" t="s">
        <v>721</v>
      </c>
    </row>
    <row r="551" spans="1:11" s="77" customFormat="1" ht="15" hidden="1" customHeight="1">
      <c r="A551" s="83">
        <v>45902</v>
      </c>
      <c r="B551" s="84" t="s">
        <v>565</v>
      </c>
      <c r="C551" s="77" t="s">
        <v>717</v>
      </c>
      <c r="D551" s="86" t="s">
        <v>726</v>
      </c>
      <c r="E551" s="96" t="s">
        <v>731</v>
      </c>
      <c r="F551" s="89" t="s">
        <v>728</v>
      </c>
      <c r="G551" s="88" t="s">
        <v>721</v>
      </c>
    </row>
    <row r="552" spans="1:11" s="77" customFormat="1" ht="15" hidden="1" customHeight="1">
      <c r="A552" s="83">
        <v>45902</v>
      </c>
      <c r="B552" s="84" t="s">
        <v>356</v>
      </c>
      <c r="C552" s="77" t="s">
        <v>717</v>
      </c>
      <c r="D552" s="86" t="s">
        <v>726</v>
      </c>
      <c r="E552" s="96" t="s">
        <v>735</v>
      </c>
      <c r="F552" s="89" t="s">
        <v>796</v>
      </c>
      <c r="G552" s="88" t="s">
        <v>721</v>
      </c>
    </row>
    <row r="553" spans="1:11" s="77" customFormat="1" ht="15" hidden="1" customHeight="1">
      <c r="A553" s="83">
        <v>45902</v>
      </c>
      <c r="B553" s="84" t="s">
        <v>565</v>
      </c>
      <c r="C553" s="77" t="s">
        <v>717</v>
      </c>
      <c r="D553" s="86" t="s">
        <v>726</v>
      </c>
      <c r="E553" s="96" t="s">
        <v>733</v>
      </c>
      <c r="F553" s="89" t="s">
        <v>728</v>
      </c>
      <c r="G553" s="88" t="s">
        <v>721</v>
      </c>
    </row>
    <row r="554" spans="1:11" s="77" customFormat="1" ht="15" hidden="1" customHeight="1">
      <c r="A554" s="83">
        <v>45902</v>
      </c>
      <c r="B554" s="84" t="s">
        <v>565</v>
      </c>
      <c r="C554" s="77" t="s">
        <v>717</v>
      </c>
      <c r="D554" s="86" t="s">
        <v>726</v>
      </c>
      <c r="E554" s="96" t="s">
        <v>734</v>
      </c>
      <c r="F554" s="89" t="s">
        <v>728</v>
      </c>
      <c r="G554" s="88" t="s">
        <v>721</v>
      </c>
    </row>
    <row r="555" spans="1:11" ht="15" customHeight="1">
      <c r="A555" s="90">
        <v>45902</v>
      </c>
      <c r="B555" s="91" t="s">
        <v>356</v>
      </c>
      <c r="C555" s="78" t="s">
        <v>717</v>
      </c>
      <c r="D555" s="92" t="s">
        <v>718</v>
      </c>
      <c r="E555" s="91" t="s">
        <v>767</v>
      </c>
      <c r="F555" s="93" t="s">
        <v>797</v>
      </c>
      <c r="G555" s="94">
        <v>1851060</v>
      </c>
      <c r="H555" s="78" t="s">
        <v>354</v>
      </c>
      <c r="I555" s="78" t="s">
        <v>774</v>
      </c>
      <c r="J555" s="78" t="s">
        <v>786</v>
      </c>
      <c r="K555" s="78" t="s">
        <v>354</v>
      </c>
    </row>
    <row r="556" spans="1:11" s="77" customFormat="1" ht="15" hidden="1" customHeight="1">
      <c r="A556" s="83">
        <v>45902</v>
      </c>
      <c r="B556" s="84" t="s">
        <v>565</v>
      </c>
      <c r="C556" s="77" t="s">
        <v>717</v>
      </c>
      <c r="D556" s="86" t="s">
        <v>736</v>
      </c>
      <c r="E556" s="96" t="s">
        <v>737</v>
      </c>
      <c r="F556" s="89" t="s">
        <v>721</v>
      </c>
      <c r="G556" s="88" t="s">
        <v>721</v>
      </c>
    </row>
    <row r="557" spans="1:11" s="77" customFormat="1" ht="15" hidden="1" customHeight="1">
      <c r="A557" s="83">
        <v>45902</v>
      </c>
      <c r="B557" s="84" t="s">
        <v>565</v>
      </c>
      <c r="C557" s="77" t="s">
        <v>717</v>
      </c>
      <c r="D557" s="86" t="s">
        <v>736</v>
      </c>
      <c r="E557" s="96" t="s">
        <v>738</v>
      </c>
      <c r="F557" s="89" t="s">
        <v>721</v>
      </c>
      <c r="G557" s="88" t="s">
        <v>721</v>
      </c>
    </row>
    <row r="558" spans="1:11" s="77" customFormat="1" ht="15" hidden="1" customHeight="1">
      <c r="A558" s="83">
        <v>45902</v>
      </c>
      <c r="B558" s="84" t="s">
        <v>565</v>
      </c>
      <c r="C558" s="77" t="s">
        <v>717</v>
      </c>
      <c r="D558" s="85" t="s">
        <v>739</v>
      </c>
      <c r="E558" s="96" t="s">
        <v>740</v>
      </c>
      <c r="F558" s="89" t="s">
        <v>728</v>
      </c>
      <c r="G558" s="88" t="s">
        <v>721</v>
      </c>
    </row>
    <row r="559" spans="1:11" s="77" customFormat="1" ht="15" hidden="1" customHeight="1">
      <c r="A559" s="83">
        <v>45902</v>
      </c>
      <c r="B559" s="84" t="s">
        <v>565</v>
      </c>
      <c r="C559" s="77" t="s">
        <v>717</v>
      </c>
      <c r="D559" s="85" t="s">
        <v>739</v>
      </c>
      <c r="E559" s="96" t="s">
        <v>741</v>
      </c>
      <c r="F559" s="89" t="s">
        <v>793</v>
      </c>
      <c r="G559" s="88" t="s">
        <v>721</v>
      </c>
    </row>
    <row r="560" spans="1:11" s="77" customFormat="1" ht="15" hidden="1" customHeight="1">
      <c r="A560" s="83">
        <v>45902</v>
      </c>
      <c r="B560" s="84" t="s">
        <v>565</v>
      </c>
      <c r="C560" s="77" t="s">
        <v>717</v>
      </c>
      <c r="D560" s="85" t="s">
        <v>739</v>
      </c>
      <c r="E560" s="96" t="s">
        <v>743</v>
      </c>
      <c r="F560" s="89" t="s">
        <v>728</v>
      </c>
      <c r="G560" s="88" t="s">
        <v>721</v>
      </c>
    </row>
    <row r="561" spans="1:7" s="77" customFormat="1" ht="15" hidden="1" customHeight="1">
      <c r="A561" s="83">
        <v>45902</v>
      </c>
      <c r="B561" s="84" t="s">
        <v>565</v>
      </c>
      <c r="C561" s="77" t="s">
        <v>717</v>
      </c>
      <c r="D561" s="85" t="s">
        <v>744</v>
      </c>
      <c r="E561" s="96" t="s">
        <v>745</v>
      </c>
      <c r="F561" s="89" t="s">
        <v>728</v>
      </c>
      <c r="G561" s="88" t="s">
        <v>721</v>
      </c>
    </row>
    <row r="562" spans="1:7" s="77" customFormat="1" ht="15" hidden="1" customHeight="1">
      <c r="A562" s="83">
        <v>45902</v>
      </c>
      <c r="B562" s="84" t="s">
        <v>565</v>
      </c>
      <c r="C562" s="77" t="s">
        <v>717</v>
      </c>
      <c r="D562" s="85" t="s">
        <v>744</v>
      </c>
      <c r="E562" s="96" t="s">
        <v>746</v>
      </c>
      <c r="F562" s="89" t="s">
        <v>728</v>
      </c>
      <c r="G562" s="88" t="s">
        <v>721</v>
      </c>
    </row>
    <row r="563" spans="1:7" s="77" customFormat="1" ht="15" hidden="1" customHeight="1">
      <c r="A563" s="83">
        <v>45902</v>
      </c>
      <c r="B563" s="84" t="s">
        <v>565</v>
      </c>
      <c r="C563" s="77" t="s">
        <v>717</v>
      </c>
      <c r="D563" s="85" t="s">
        <v>744</v>
      </c>
      <c r="E563" s="96" t="s">
        <v>747</v>
      </c>
      <c r="F563" s="89" t="s">
        <v>728</v>
      </c>
      <c r="G563" s="88" t="s">
        <v>721</v>
      </c>
    </row>
    <row r="564" spans="1:7" s="77" customFormat="1" ht="15" hidden="1" customHeight="1">
      <c r="A564" s="83">
        <v>45902</v>
      </c>
      <c r="B564" s="84" t="s">
        <v>565</v>
      </c>
      <c r="C564" s="77" t="s">
        <v>717</v>
      </c>
      <c r="D564" s="85" t="s">
        <v>744</v>
      </c>
      <c r="E564" s="96" t="s">
        <v>748</v>
      </c>
      <c r="F564" s="89" t="s">
        <v>728</v>
      </c>
      <c r="G564" s="88" t="s">
        <v>721</v>
      </c>
    </row>
    <row r="565" spans="1:7" s="77" customFormat="1" ht="15" hidden="1" customHeight="1">
      <c r="A565" s="83">
        <v>45902</v>
      </c>
      <c r="B565" s="84" t="s">
        <v>565</v>
      </c>
      <c r="C565" s="77" t="s">
        <v>717</v>
      </c>
      <c r="D565" s="85" t="s">
        <v>744</v>
      </c>
      <c r="E565" s="96" t="s">
        <v>749</v>
      </c>
      <c r="F565" s="89" t="s">
        <v>728</v>
      </c>
      <c r="G565" s="88" t="s">
        <v>721</v>
      </c>
    </row>
    <row r="566" spans="1:7" s="77" customFormat="1" ht="15" hidden="1" customHeight="1">
      <c r="A566" s="83">
        <v>45902</v>
      </c>
      <c r="B566" s="84" t="s">
        <v>565</v>
      </c>
      <c r="C566" s="77" t="s">
        <v>717</v>
      </c>
      <c r="D566" s="85" t="s">
        <v>750</v>
      </c>
      <c r="E566" s="96" t="s">
        <v>751</v>
      </c>
      <c r="F566" s="89" t="s">
        <v>728</v>
      </c>
      <c r="G566" s="88" t="s">
        <v>721</v>
      </c>
    </row>
    <row r="567" spans="1:7" s="77" customFormat="1" ht="15" hidden="1" customHeight="1">
      <c r="A567" s="83">
        <v>45902</v>
      </c>
      <c r="B567" s="84" t="s">
        <v>565</v>
      </c>
      <c r="C567" s="77" t="s">
        <v>717</v>
      </c>
      <c r="D567" s="85" t="s">
        <v>750</v>
      </c>
      <c r="E567" s="96" t="s">
        <v>752</v>
      </c>
      <c r="F567" s="89" t="s">
        <v>728</v>
      </c>
      <c r="G567" s="88" t="s">
        <v>721</v>
      </c>
    </row>
    <row r="568" spans="1:7" s="77" customFormat="1" ht="15" hidden="1" customHeight="1">
      <c r="A568" s="83">
        <v>45902</v>
      </c>
      <c r="B568" s="84" t="s">
        <v>565</v>
      </c>
      <c r="C568" s="77" t="s">
        <v>717</v>
      </c>
      <c r="D568" s="85" t="s">
        <v>750</v>
      </c>
      <c r="E568" s="96" t="s">
        <v>753</v>
      </c>
      <c r="F568" s="89" t="s">
        <v>728</v>
      </c>
      <c r="G568" s="88" t="s">
        <v>721</v>
      </c>
    </row>
    <row r="569" spans="1:7" s="77" customFormat="1" ht="15" hidden="1" customHeight="1">
      <c r="A569" s="83">
        <v>45902</v>
      </c>
      <c r="B569" s="84" t="s">
        <v>565</v>
      </c>
      <c r="C569" s="77" t="s">
        <v>717</v>
      </c>
      <c r="D569" s="85" t="s">
        <v>750</v>
      </c>
      <c r="E569" s="96" t="s">
        <v>754</v>
      </c>
      <c r="F569" s="89" t="s">
        <v>728</v>
      </c>
      <c r="G569" s="88" t="s">
        <v>721</v>
      </c>
    </row>
    <row r="570" spans="1:7" s="77" customFormat="1" ht="15" hidden="1" customHeight="1">
      <c r="A570" s="83">
        <v>45902</v>
      </c>
      <c r="B570" s="84" t="s">
        <v>565</v>
      </c>
      <c r="C570" s="77" t="s">
        <v>717</v>
      </c>
      <c r="D570" s="85" t="s">
        <v>755</v>
      </c>
      <c r="E570" s="86" t="s">
        <v>756</v>
      </c>
      <c r="F570" s="89" t="s">
        <v>728</v>
      </c>
      <c r="G570" s="88" t="s">
        <v>721</v>
      </c>
    </row>
    <row r="571" spans="1:7" s="77" customFormat="1" ht="15" hidden="1" customHeight="1">
      <c r="A571" s="83">
        <v>45902</v>
      </c>
      <c r="B571" s="84" t="s">
        <v>565</v>
      </c>
      <c r="C571" s="77" t="s">
        <v>717</v>
      </c>
      <c r="D571" s="85" t="s">
        <v>755</v>
      </c>
      <c r="E571" s="96" t="s">
        <v>757</v>
      </c>
      <c r="F571" s="89" t="s">
        <v>728</v>
      </c>
      <c r="G571" s="88" t="s">
        <v>721</v>
      </c>
    </row>
    <row r="572" spans="1:7" s="77" customFormat="1" ht="15" hidden="1" customHeight="1">
      <c r="A572" s="83">
        <v>45902</v>
      </c>
      <c r="B572" s="84" t="s">
        <v>565</v>
      </c>
      <c r="C572" s="77" t="s">
        <v>717</v>
      </c>
      <c r="D572" s="85" t="s">
        <v>758</v>
      </c>
      <c r="E572" s="96" t="s">
        <v>759</v>
      </c>
      <c r="F572" s="89" t="s">
        <v>728</v>
      </c>
      <c r="G572" s="88" t="s">
        <v>721</v>
      </c>
    </row>
    <row r="573" spans="1:7" s="77" customFormat="1" ht="15" hidden="1" customHeight="1">
      <c r="A573" s="83">
        <v>45902</v>
      </c>
      <c r="B573" s="84" t="s">
        <v>565</v>
      </c>
      <c r="C573" s="77" t="s">
        <v>717</v>
      </c>
      <c r="D573" s="85" t="s">
        <v>758</v>
      </c>
      <c r="E573" s="96" t="s">
        <v>760</v>
      </c>
      <c r="F573" s="89" t="s">
        <v>728</v>
      </c>
      <c r="G573" s="88" t="s">
        <v>721</v>
      </c>
    </row>
    <row r="574" spans="1:7" s="77" customFormat="1" ht="15" hidden="1" customHeight="1">
      <c r="A574" s="83">
        <v>45902</v>
      </c>
      <c r="B574" s="84" t="s">
        <v>565</v>
      </c>
      <c r="C574" s="77" t="s">
        <v>717</v>
      </c>
      <c r="D574" s="85" t="s">
        <v>758</v>
      </c>
      <c r="E574" s="96" t="s">
        <v>761</v>
      </c>
      <c r="F574" s="89" t="s">
        <v>728</v>
      </c>
      <c r="G574" s="88" t="s">
        <v>721</v>
      </c>
    </row>
    <row r="575" spans="1:7" s="77" customFormat="1" ht="15" hidden="1" customHeight="1">
      <c r="A575" s="83">
        <v>45902</v>
      </c>
      <c r="B575" s="84" t="s">
        <v>565</v>
      </c>
      <c r="C575" s="77" t="s">
        <v>717</v>
      </c>
      <c r="D575" s="85" t="s">
        <v>758</v>
      </c>
      <c r="E575" s="96" t="s">
        <v>762</v>
      </c>
      <c r="F575" s="89" t="s">
        <v>728</v>
      </c>
      <c r="G575" s="88" t="s">
        <v>721</v>
      </c>
    </row>
    <row r="576" spans="1:7" s="77" customFormat="1" ht="15" hidden="1" customHeight="1">
      <c r="A576" s="83">
        <v>45902</v>
      </c>
      <c r="B576" s="84" t="s">
        <v>565</v>
      </c>
      <c r="C576" s="77" t="s">
        <v>717</v>
      </c>
      <c r="D576" s="85" t="s">
        <v>758</v>
      </c>
      <c r="E576" s="96" t="s">
        <v>763</v>
      </c>
      <c r="F576" s="89" t="s">
        <v>728</v>
      </c>
      <c r="G576" s="88" t="s">
        <v>721</v>
      </c>
    </row>
    <row r="577" spans="1:11" s="77" customFormat="1" ht="15" hidden="1" customHeight="1">
      <c r="A577" s="83">
        <v>45902</v>
      </c>
      <c r="B577" s="84" t="s">
        <v>565</v>
      </c>
      <c r="C577" s="77" t="s">
        <v>717</v>
      </c>
      <c r="D577" s="85" t="s">
        <v>758</v>
      </c>
      <c r="E577" s="96" t="s">
        <v>764</v>
      </c>
      <c r="F577" s="89" t="s">
        <v>728</v>
      </c>
      <c r="G577" s="88" t="s">
        <v>721</v>
      </c>
    </row>
    <row r="578" spans="1:11" ht="15" customHeight="1">
      <c r="A578" s="90">
        <v>45902</v>
      </c>
      <c r="B578" s="91" t="s">
        <v>565</v>
      </c>
      <c r="C578" s="78" t="s">
        <v>717</v>
      </c>
      <c r="D578" s="91" t="s">
        <v>726</v>
      </c>
      <c r="E578" s="78" t="s">
        <v>732</v>
      </c>
      <c r="F578" s="93" t="s">
        <v>798</v>
      </c>
      <c r="G578" s="94">
        <v>1851063</v>
      </c>
      <c r="H578" s="78" t="s">
        <v>354</v>
      </c>
      <c r="I578" s="78" t="s">
        <v>774</v>
      </c>
      <c r="J578" s="78" t="s">
        <v>786</v>
      </c>
      <c r="K578" s="78" t="s">
        <v>354</v>
      </c>
    </row>
    <row r="579" spans="1:11" s="77" customFormat="1" ht="15" hidden="1" customHeight="1">
      <c r="A579" s="83">
        <v>45902</v>
      </c>
      <c r="B579" s="84" t="s">
        <v>565</v>
      </c>
      <c r="C579" s="77" t="s">
        <v>717</v>
      </c>
      <c r="D579" s="85" t="s">
        <v>718</v>
      </c>
      <c r="E579" s="86" t="s">
        <v>765</v>
      </c>
      <c r="F579" s="89" t="s">
        <v>728</v>
      </c>
      <c r="G579" s="88" t="s">
        <v>721</v>
      </c>
    </row>
    <row r="580" spans="1:11" s="77" customFormat="1" ht="15" hidden="1" customHeight="1">
      <c r="A580" s="83">
        <v>45902</v>
      </c>
      <c r="B580" s="84" t="s">
        <v>565</v>
      </c>
      <c r="C580" s="77" t="s">
        <v>717</v>
      </c>
      <c r="D580" s="85" t="s">
        <v>718</v>
      </c>
      <c r="E580" s="86" t="s">
        <v>766</v>
      </c>
      <c r="F580" s="89" t="s">
        <v>728</v>
      </c>
      <c r="G580" s="88" t="s">
        <v>721</v>
      </c>
    </row>
    <row r="581" spans="1:11" s="77" customFormat="1" ht="15" hidden="1" customHeight="1">
      <c r="A581" s="83">
        <v>45902</v>
      </c>
      <c r="B581" s="84" t="s">
        <v>565</v>
      </c>
      <c r="C581" s="77" t="s">
        <v>717</v>
      </c>
      <c r="D581" s="85" t="s">
        <v>718</v>
      </c>
      <c r="E581" s="86" t="s">
        <v>767</v>
      </c>
      <c r="F581" s="89" t="s">
        <v>728</v>
      </c>
      <c r="G581" s="88" t="s">
        <v>721</v>
      </c>
    </row>
    <row r="582" spans="1:11" s="77" customFormat="1" ht="15" hidden="1" customHeight="1">
      <c r="A582" s="83">
        <v>45902</v>
      </c>
      <c r="B582" s="84" t="s">
        <v>565</v>
      </c>
      <c r="C582" s="77" t="s">
        <v>717</v>
      </c>
      <c r="D582" s="85" t="s">
        <v>718</v>
      </c>
      <c r="E582" s="86" t="s">
        <v>768</v>
      </c>
      <c r="F582" s="89" t="s">
        <v>728</v>
      </c>
      <c r="G582" s="88" t="s">
        <v>721</v>
      </c>
    </row>
    <row r="583" spans="1:11" s="77" customFormat="1" ht="15" hidden="1" customHeight="1">
      <c r="A583" s="83">
        <v>45902</v>
      </c>
      <c r="B583" s="84" t="s">
        <v>565</v>
      </c>
      <c r="C583" s="77" t="s">
        <v>717</v>
      </c>
      <c r="D583" s="85" t="s">
        <v>718</v>
      </c>
      <c r="E583" s="86" t="s">
        <v>769</v>
      </c>
      <c r="F583" s="89" t="s">
        <v>728</v>
      </c>
      <c r="G583" s="88" t="s">
        <v>721</v>
      </c>
    </row>
    <row r="584" spans="1:11" s="77" customFormat="1" ht="15" hidden="1" customHeight="1">
      <c r="A584" s="83">
        <v>45902</v>
      </c>
      <c r="B584" s="84" t="s">
        <v>565</v>
      </c>
      <c r="C584" s="77" t="s">
        <v>717</v>
      </c>
      <c r="D584" s="85" t="s">
        <v>718</v>
      </c>
      <c r="E584" s="86" t="s">
        <v>770</v>
      </c>
      <c r="F584" s="89" t="s">
        <v>728</v>
      </c>
      <c r="G584" s="88" t="s">
        <v>721</v>
      </c>
    </row>
    <row r="585" spans="1:11" s="77" customFormat="1" ht="15" hidden="1" customHeight="1">
      <c r="A585" s="83">
        <v>45902</v>
      </c>
      <c r="B585" s="84" t="s">
        <v>565</v>
      </c>
      <c r="C585" s="77" t="s">
        <v>717</v>
      </c>
      <c r="D585" s="85" t="s">
        <v>718</v>
      </c>
      <c r="E585" s="86" t="s">
        <v>771</v>
      </c>
      <c r="F585" s="89" t="s">
        <v>728</v>
      </c>
      <c r="G585" s="88" t="s">
        <v>721</v>
      </c>
    </row>
    <row r="586" spans="1:11" s="77" customFormat="1" ht="15" hidden="1" customHeight="1">
      <c r="A586" s="83">
        <v>45902</v>
      </c>
      <c r="B586" s="84" t="s">
        <v>565</v>
      </c>
      <c r="C586" s="77" t="s">
        <v>717</v>
      </c>
      <c r="D586" s="85" t="s">
        <v>718</v>
      </c>
      <c r="E586" s="86" t="s">
        <v>772</v>
      </c>
      <c r="F586" s="89" t="s">
        <v>728</v>
      </c>
      <c r="G586" s="88" t="s">
        <v>721</v>
      </c>
    </row>
    <row r="587" spans="1:11" s="77" customFormat="1" ht="15" hidden="1" customHeight="1">
      <c r="A587" s="83">
        <v>45902</v>
      </c>
      <c r="B587" s="84" t="s">
        <v>636</v>
      </c>
      <c r="C587" s="77" t="s">
        <v>717</v>
      </c>
      <c r="D587" s="86" t="s">
        <v>726</v>
      </c>
      <c r="E587" s="95" t="s">
        <v>727</v>
      </c>
      <c r="F587" s="89" t="s">
        <v>721</v>
      </c>
      <c r="G587" s="88" t="s">
        <v>721</v>
      </c>
    </row>
    <row r="588" spans="1:11" s="77" customFormat="1" ht="15" hidden="1" customHeight="1">
      <c r="A588" s="83">
        <v>45902</v>
      </c>
      <c r="B588" s="84" t="s">
        <v>636</v>
      </c>
      <c r="C588" s="77" t="s">
        <v>717</v>
      </c>
      <c r="D588" s="86" t="s">
        <v>726</v>
      </c>
      <c r="E588" s="96" t="s">
        <v>729</v>
      </c>
      <c r="F588" s="89" t="s">
        <v>721</v>
      </c>
      <c r="G588" s="88" t="s">
        <v>721</v>
      </c>
    </row>
    <row r="589" spans="1:11" ht="15" customHeight="1">
      <c r="A589" s="90">
        <v>45902</v>
      </c>
      <c r="B589" s="91" t="s">
        <v>565</v>
      </c>
      <c r="C589" s="78" t="s">
        <v>717</v>
      </c>
      <c r="D589" s="91" t="s">
        <v>726</v>
      </c>
      <c r="E589" s="78" t="s">
        <v>730</v>
      </c>
      <c r="F589" s="93" t="s">
        <v>796</v>
      </c>
      <c r="G589" s="94"/>
      <c r="J589" s="78"/>
    </row>
    <row r="590" spans="1:11" s="77" customFormat="1" ht="15" hidden="1" customHeight="1">
      <c r="A590" s="83">
        <v>45902</v>
      </c>
      <c r="B590" s="84" t="s">
        <v>636</v>
      </c>
      <c r="C590" s="77" t="s">
        <v>717</v>
      </c>
      <c r="D590" s="86" t="s">
        <v>726</v>
      </c>
      <c r="E590" s="96" t="s">
        <v>731</v>
      </c>
      <c r="F590" s="89" t="s">
        <v>728</v>
      </c>
      <c r="G590" s="88" t="s">
        <v>721</v>
      </c>
    </row>
    <row r="591" spans="1:11" s="77" customFormat="1" ht="15" hidden="1" customHeight="1">
      <c r="A591" s="83">
        <v>45902</v>
      </c>
      <c r="B591" s="84" t="s">
        <v>636</v>
      </c>
      <c r="C591" s="77" t="s">
        <v>717</v>
      </c>
      <c r="D591" s="86" t="s">
        <v>726</v>
      </c>
      <c r="E591" s="96" t="s">
        <v>732</v>
      </c>
      <c r="F591" s="89" t="s">
        <v>728</v>
      </c>
      <c r="G591" s="88" t="s">
        <v>721</v>
      </c>
    </row>
    <row r="592" spans="1:11" s="77" customFormat="1" ht="15" hidden="1" customHeight="1">
      <c r="A592" s="83">
        <v>45902</v>
      </c>
      <c r="B592" s="84" t="s">
        <v>636</v>
      </c>
      <c r="C592" s="77" t="s">
        <v>717</v>
      </c>
      <c r="D592" s="86" t="s">
        <v>726</v>
      </c>
      <c r="E592" s="96" t="s">
        <v>733</v>
      </c>
      <c r="F592" s="89" t="s">
        <v>728</v>
      </c>
      <c r="G592" s="88" t="s">
        <v>721</v>
      </c>
    </row>
    <row r="593" spans="1:7" s="77" customFormat="1" ht="15" hidden="1" customHeight="1">
      <c r="A593" s="83">
        <v>45902</v>
      </c>
      <c r="B593" s="84" t="s">
        <v>636</v>
      </c>
      <c r="C593" s="77" t="s">
        <v>717</v>
      </c>
      <c r="D593" s="86" t="s">
        <v>726</v>
      </c>
      <c r="E593" s="96" t="s">
        <v>734</v>
      </c>
      <c r="F593" s="89" t="s">
        <v>728</v>
      </c>
      <c r="G593" s="88" t="s">
        <v>721</v>
      </c>
    </row>
    <row r="594" spans="1:7" s="77" customFormat="1" ht="15" hidden="1" customHeight="1">
      <c r="A594" s="83">
        <v>45902</v>
      </c>
      <c r="B594" s="84" t="s">
        <v>636</v>
      </c>
      <c r="C594" s="77" t="s">
        <v>717</v>
      </c>
      <c r="D594" s="86" t="s">
        <v>726</v>
      </c>
      <c r="E594" s="96" t="s">
        <v>735</v>
      </c>
      <c r="F594" s="89" t="s">
        <v>728</v>
      </c>
      <c r="G594" s="88" t="s">
        <v>721</v>
      </c>
    </row>
    <row r="595" spans="1:7" s="77" customFormat="1" ht="15" hidden="1" customHeight="1">
      <c r="A595" s="83">
        <v>45902</v>
      </c>
      <c r="B595" s="84" t="s">
        <v>636</v>
      </c>
      <c r="C595" s="77" t="s">
        <v>717</v>
      </c>
      <c r="D595" s="86" t="s">
        <v>736</v>
      </c>
      <c r="E595" s="96" t="s">
        <v>737</v>
      </c>
      <c r="F595" s="89" t="s">
        <v>721</v>
      </c>
      <c r="G595" s="88" t="s">
        <v>721</v>
      </c>
    </row>
    <row r="596" spans="1:7" s="77" customFormat="1" ht="15" hidden="1" customHeight="1">
      <c r="A596" s="83">
        <v>45902</v>
      </c>
      <c r="B596" s="84" t="s">
        <v>636</v>
      </c>
      <c r="C596" s="77" t="s">
        <v>717</v>
      </c>
      <c r="D596" s="86" t="s">
        <v>736</v>
      </c>
      <c r="E596" s="96" t="s">
        <v>738</v>
      </c>
      <c r="F596" s="89" t="s">
        <v>721</v>
      </c>
      <c r="G596" s="88" t="s">
        <v>721</v>
      </c>
    </row>
    <row r="597" spans="1:7" s="77" customFormat="1" ht="15" hidden="1" customHeight="1">
      <c r="A597" s="83">
        <v>45902</v>
      </c>
      <c r="B597" s="84" t="s">
        <v>636</v>
      </c>
      <c r="C597" s="77" t="s">
        <v>717</v>
      </c>
      <c r="D597" s="85" t="s">
        <v>739</v>
      </c>
      <c r="E597" s="96" t="s">
        <v>740</v>
      </c>
      <c r="F597" s="89" t="s">
        <v>728</v>
      </c>
      <c r="G597" s="88" t="s">
        <v>721</v>
      </c>
    </row>
    <row r="598" spans="1:7" s="77" customFormat="1" ht="15" hidden="1" customHeight="1">
      <c r="A598" s="83">
        <v>45902</v>
      </c>
      <c r="B598" s="84" t="s">
        <v>636</v>
      </c>
      <c r="C598" s="77" t="s">
        <v>717</v>
      </c>
      <c r="D598" s="85" t="s">
        <v>739</v>
      </c>
      <c r="E598" s="96" t="s">
        <v>741</v>
      </c>
      <c r="F598" s="89" t="s">
        <v>793</v>
      </c>
      <c r="G598" s="88" t="s">
        <v>721</v>
      </c>
    </row>
    <row r="599" spans="1:7" s="77" customFormat="1" ht="15" hidden="1" customHeight="1">
      <c r="A599" s="83">
        <v>45902</v>
      </c>
      <c r="B599" s="84" t="s">
        <v>636</v>
      </c>
      <c r="C599" s="77" t="s">
        <v>717</v>
      </c>
      <c r="D599" s="85" t="s">
        <v>739</v>
      </c>
      <c r="E599" s="96" t="s">
        <v>743</v>
      </c>
      <c r="F599" s="89" t="s">
        <v>728</v>
      </c>
      <c r="G599" s="88" t="s">
        <v>721</v>
      </c>
    </row>
    <row r="600" spans="1:7" s="77" customFormat="1" ht="15" hidden="1" customHeight="1">
      <c r="A600" s="83">
        <v>45902</v>
      </c>
      <c r="B600" s="84" t="s">
        <v>636</v>
      </c>
      <c r="C600" s="77" t="s">
        <v>717</v>
      </c>
      <c r="D600" s="85" t="s">
        <v>744</v>
      </c>
      <c r="E600" s="96" t="s">
        <v>745</v>
      </c>
      <c r="F600" s="89" t="s">
        <v>728</v>
      </c>
      <c r="G600" s="88" t="s">
        <v>721</v>
      </c>
    </row>
    <row r="601" spans="1:7" s="77" customFormat="1" ht="15" hidden="1" customHeight="1">
      <c r="A601" s="83">
        <v>45902</v>
      </c>
      <c r="B601" s="84" t="s">
        <v>636</v>
      </c>
      <c r="C601" s="77" t="s">
        <v>717</v>
      </c>
      <c r="D601" s="85" t="s">
        <v>744</v>
      </c>
      <c r="E601" s="96" t="s">
        <v>746</v>
      </c>
      <c r="F601" s="89" t="s">
        <v>728</v>
      </c>
      <c r="G601" s="88" t="s">
        <v>721</v>
      </c>
    </row>
    <row r="602" spans="1:7" s="77" customFormat="1" ht="15" hidden="1" customHeight="1">
      <c r="A602" s="83">
        <v>45902</v>
      </c>
      <c r="B602" s="84" t="s">
        <v>636</v>
      </c>
      <c r="C602" s="77" t="s">
        <v>717</v>
      </c>
      <c r="D602" s="85" t="s">
        <v>744</v>
      </c>
      <c r="E602" s="96" t="s">
        <v>747</v>
      </c>
      <c r="F602" s="89" t="s">
        <v>721</v>
      </c>
      <c r="G602" s="88" t="s">
        <v>721</v>
      </c>
    </row>
    <row r="603" spans="1:7" s="77" customFormat="1" ht="15" hidden="1" customHeight="1">
      <c r="A603" s="83">
        <v>45902</v>
      </c>
      <c r="B603" s="84" t="s">
        <v>636</v>
      </c>
      <c r="C603" s="77" t="s">
        <v>717</v>
      </c>
      <c r="D603" s="85" t="s">
        <v>744</v>
      </c>
      <c r="E603" s="96" t="s">
        <v>748</v>
      </c>
      <c r="F603" s="89" t="s">
        <v>721</v>
      </c>
      <c r="G603" s="88" t="s">
        <v>721</v>
      </c>
    </row>
    <row r="604" spans="1:7" s="77" customFormat="1" ht="15" hidden="1" customHeight="1">
      <c r="A604" s="83">
        <v>45902</v>
      </c>
      <c r="B604" s="84" t="s">
        <v>636</v>
      </c>
      <c r="C604" s="77" t="s">
        <v>717</v>
      </c>
      <c r="D604" s="85" t="s">
        <v>744</v>
      </c>
      <c r="E604" s="96" t="s">
        <v>749</v>
      </c>
      <c r="F604" s="89" t="s">
        <v>728</v>
      </c>
      <c r="G604" s="88" t="s">
        <v>721</v>
      </c>
    </row>
    <row r="605" spans="1:7" s="77" customFormat="1" ht="15" hidden="1" customHeight="1">
      <c r="A605" s="83">
        <v>45902</v>
      </c>
      <c r="B605" s="84" t="s">
        <v>636</v>
      </c>
      <c r="C605" s="77" t="s">
        <v>717</v>
      </c>
      <c r="D605" s="85" t="s">
        <v>750</v>
      </c>
      <c r="E605" s="96" t="s">
        <v>751</v>
      </c>
      <c r="F605" s="89" t="s">
        <v>728</v>
      </c>
      <c r="G605" s="88" t="s">
        <v>721</v>
      </c>
    </row>
    <row r="606" spans="1:7" s="77" customFormat="1" ht="15" hidden="1" customHeight="1">
      <c r="A606" s="83">
        <v>45902</v>
      </c>
      <c r="B606" s="84" t="s">
        <v>636</v>
      </c>
      <c r="C606" s="77" t="s">
        <v>717</v>
      </c>
      <c r="D606" s="85" t="s">
        <v>750</v>
      </c>
      <c r="E606" s="96" t="s">
        <v>752</v>
      </c>
      <c r="F606" s="89" t="s">
        <v>728</v>
      </c>
      <c r="G606" s="88" t="s">
        <v>721</v>
      </c>
    </row>
    <row r="607" spans="1:7" s="77" customFormat="1" ht="15" hidden="1" customHeight="1">
      <c r="A607" s="83">
        <v>45902</v>
      </c>
      <c r="B607" s="84" t="s">
        <v>636</v>
      </c>
      <c r="C607" s="77" t="s">
        <v>717</v>
      </c>
      <c r="D607" s="85" t="s">
        <v>750</v>
      </c>
      <c r="E607" s="96" t="s">
        <v>753</v>
      </c>
      <c r="F607" s="89" t="s">
        <v>728</v>
      </c>
      <c r="G607" s="88" t="s">
        <v>721</v>
      </c>
    </row>
    <row r="608" spans="1:7" s="77" customFormat="1" ht="15" hidden="1" customHeight="1">
      <c r="A608" s="83">
        <v>45902</v>
      </c>
      <c r="B608" s="84" t="s">
        <v>636</v>
      </c>
      <c r="C608" s="77" t="s">
        <v>717</v>
      </c>
      <c r="D608" s="85" t="s">
        <v>750</v>
      </c>
      <c r="E608" s="96" t="s">
        <v>754</v>
      </c>
      <c r="F608" s="89" t="s">
        <v>728</v>
      </c>
      <c r="G608" s="88" t="s">
        <v>721</v>
      </c>
    </row>
    <row r="609" spans="1:11" s="77" customFormat="1" ht="15" hidden="1" customHeight="1">
      <c r="A609" s="83">
        <v>45902</v>
      </c>
      <c r="B609" s="84" t="s">
        <v>636</v>
      </c>
      <c r="C609" s="77" t="s">
        <v>717</v>
      </c>
      <c r="D609" s="85" t="s">
        <v>755</v>
      </c>
      <c r="E609" s="86" t="s">
        <v>756</v>
      </c>
      <c r="F609" s="89" t="s">
        <v>728</v>
      </c>
      <c r="G609" s="88" t="s">
        <v>721</v>
      </c>
    </row>
    <row r="610" spans="1:11" s="77" customFormat="1" ht="15" hidden="1" customHeight="1">
      <c r="A610" s="83">
        <v>45902</v>
      </c>
      <c r="B610" s="84" t="s">
        <v>636</v>
      </c>
      <c r="C610" s="77" t="s">
        <v>717</v>
      </c>
      <c r="D610" s="85" t="s">
        <v>755</v>
      </c>
      <c r="E610" s="96" t="s">
        <v>757</v>
      </c>
      <c r="F610" s="89" t="s">
        <v>728</v>
      </c>
      <c r="G610" s="88" t="s">
        <v>721</v>
      </c>
    </row>
    <row r="611" spans="1:11" s="77" customFormat="1" ht="15" hidden="1" customHeight="1">
      <c r="A611" s="83">
        <v>45902</v>
      </c>
      <c r="B611" s="84" t="s">
        <v>636</v>
      </c>
      <c r="C611" s="77" t="s">
        <v>717</v>
      </c>
      <c r="D611" s="85" t="s">
        <v>758</v>
      </c>
      <c r="E611" s="96" t="s">
        <v>759</v>
      </c>
      <c r="F611" s="89" t="s">
        <v>728</v>
      </c>
      <c r="G611" s="88" t="s">
        <v>721</v>
      </c>
    </row>
    <row r="612" spans="1:11" s="77" customFormat="1" ht="15" hidden="1" customHeight="1">
      <c r="A612" s="83">
        <v>45902</v>
      </c>
      <c r="B612" s="84" t="s">
        <v>636</v>
      </c>
      <c r="C612" s="77" t="s">
        <v>717</v>
      </c>
      <c r="D612" s="85" t="s">
        <v>758</v>
      </c>
      <c r="E612" s="96" t="s">
        <v>760</v>
      </c>
      <c r="F612" s="89" t="s">
        <v>728</v>
      </c>
      <c r="G612" s="88" t="s">
        <v>721</v>
      </c>
    </row>
    <row r="613" spans="1:11" s="77" customFormat="1" ht="15" hidden="1" customHeight="1">
      <c r="A613" s="83">
        <v>45902</v>
      </c>
      <c r="B613" s="84" t="s">
        <v>636</v>
      </c>
      <c r="C613" s="77" t="s">
        <v>717</v>
      </c>
      <c r="D613" s="85" t="s">
        <v>758</v>
      </c>
      <c r="E613" s="96" t="s">
        <v>761</v>
      </c>
      <c r="F613" s="89" t="s">
        <v>728</v>
      </c>
      <c r="G613" s="88" t="s">
        <v>721</v>
      </c>
    </row>
    <row r="614" spans="1:11" s="77" customFormat="1" ht="15" hidden="1" customHeight="1">
      <c r="A614" s="83">
        <v>45902</v>
      </c>
      <c r="B614" s="84" t="s">
        <v>636</v>
      </c>
      <c r="C614" s="77" t="s">
        <v>717</v>
      </c>
      <c r="D614" s="85" t="s">
        <v>758</v>
      </c>
      <c r="E614" s="96" t="s">
        <v>762</v>
      </c>
      <c r="F614" s="89" t="s">
        <v>728</v>
      </c>
      <c r="G614" s="88" t="s">
        <v>721</v>
      </c>
    </row>
    <row r="615" spans="1:11" s="77" customFormat="1" ht="15" hidden="1" customHeight="1">
      <c r="A615" s="83">
        <v>45902</v>
      </c>
      <c r="B615" s="84" t="s">
        <v>636</v>
      </c>
      <c r="C615" s="77" t="s">
        <v>717</v>
      </c>
      <c r="D615" s="85" t="s">
        <v>758</v>
      </c>
      <c r="E615" s="96" t="s">
        <v>763</v>
      </c>
      <c r="F615" s="89" t="s">
        <v>728</v>
      </c>
      <c r="G615" s="88" t="s">
        <v>721</v>
      </c>
    </row>
    <row r="616" spans="1:11" s="77" customFormat="1" ht="15" hidden="1" customHeight="1">
      <c r="A616" s="83">
        <v>45902</v>
      </c>
      <c r="B616" s="84" t="s">
        <v>636</v>
      </c>
      <c r="C616" s="77" t="s">
        <v>717</v>
      </c>
      <c r="D616" s="85" t="s">
        <v>758</v>
      </c>
      <c r="E616" s="96" t="s">
        <v>764</v>
      </c>
      <c r="F616" s="89" t="s">
        <v>728</v>
      </c>
      <c r="G616" s="88" t="s">
        <v>721</v>
      </c>
    </row>
    <row r="617" spans="1:11" ht="15" customHeight="1">
      <c r="A617" s="90">
        <v>45902</v>
      </c>
      <c r="B617" s="91" t="s">
        <v>636</v>
      </c>
      <c r="C617" s="78" t="s">
        <v>717</v>
      </c>
      <c r="D617" s="92" t="s">
        <v>718</v>
      </c>
      <c r="E617" s="91" t="s">
        <v>765</v>
      </c>
      <c r="F617" s="93" t="s">
        <v>799</v>
      </c>
      <c r="G617" s="94">
        <v>1856173</v>
      </c>
      <c r="H617" s="78" t="s">
        <v>354</v>
      </c>
      <c r="I617" s="78" t="s">
        <v>774</v>
      </c>
      <c r="J617" s="78" t="s">
        <v>783</v>
      </c>
      <c r="K617" s="78" t="s">
        <v>354</v>
      </c>
    </row>
    <row r="618" spans="1:11" ht="15" customHeight="1">
      <c r="A618" s="90">
        <v>45902</v>
      </c>
      <c r="B618" s="91" t="s">
        <v>636</v>
      </c>
      <c r="C618" s="78" t="s">
        <v>717</v>
      </c>
      <c r="D618" s="92" t="s">
        <v>718</v>
      </c>
      <c r="E618" s="91" t="s">
        <v>766</v>
      </c>
      <c r="F618" s="93" t="s">
        <v>800</v>
      </c>
      <c r="G618" s="94">
        <v>1851068</v>
      </c>
      <c r="H618" s="78" t="s">
        <v>354</v>
      </c>
      <c r="I618" s="78" t="s">
        <v>774</v>
      </c>
      <c r="J618" s="78" t="s">
        <v>776</v>
      </c>
      <c r="K618" s="78" t="s">
        <v>354</v>
      </c>
    </row>
    <row r="619" spans="1:11" s="77" customFormat="1" ht="15" hidden="1" customHeight="1">
      <c r="A619" s="83">
        <v>45902</v>
      </c>
      <c r="B619" s="84" t="s">
        <v>636</v>
      </c>
      <c r="C619" s="77" t="s">
        <v>717</v>
      </c>
      <c r="D619" s="85" t="s">
        <v>718</v>
      </c>
      <c r="E619" s="86" t="s">
        <v>767</v>
      </c>
      <c r="F619" s="89" t="s">
        <v>728</v>
      </c>
      <c r="G619" s="88" t="s">
        <v>721</v>
      </c>
    </row>
    <row r="620" spans="1:11" s="77" customFormat="1" ht="15" hidden="1" customHeight="1">
      <c r="A620" s="83">
        <v>45902</v>
      </c>
      <c r="B620" s="84" t="s">
        <v>636</v>
      </c>
      <c r="C620" s="77" t="s">
        <v>717</v>
      </c>
      <c r="D620" s="85" t="s">
        <v>718</v>
      </c>
      <c r="E620" s="86" t="s">
        <v>768</v>
      </c>
      <c r="F620" s="89" t="s">
        <v>728</v>
      </c>
      <c r="G620" s="88" t="s">
        <v>721</v>
      </c>
    </row>
    <row r="621" spans="1:11" s="77" customFormat="1" ht="15" hidden="1" customHeight="1">
      <c r="A621" s="83">
        <v>45902</v>
      </c>
      <c r="B621" s="84" t="s">
        <v>636</v>
      </c>
      <c r="C621" s="77" t="s">
        <v>717</v>
      </c>
      <c r="D621" s="85" t="s">
        <v>718</v>
      </c>
      <c r="E621" s="86" t="s">
        <v>769</v>
      </c>
      <c r="F621" s="89" t="s">
        <v>721</v>
      </c>
      <c r="G621" s="88" t="s">
        <v>721</v>
      </c>
    </row>
    <row r="622" spans="1:11" s="77" customFormat="1" ht="15" hidden="1" customHeight="1">
      <c r="A622" s="83">
        <v>45902</v>
      </c>
      <c r="B622" s="84" t="s">
        <v>636</v>
      </c>
      <c r="C622" s="77" t="s">
        <v>717</v>
      </c>
      <c r="D622" s="85" t="s">
        <v>718</v>
      </c>
      <c r="E622" s="86" t="s">
        <v>770</v>
      </c>
      <c r="F622" s="89" t="s">
        <v>728</v>
      </c>
      <c r="G622" s="88" t="s">
        <v>721</v>
      </c>
    </row>
    <row r="623" spans="1:11" s="77" customFormat="1" ht="15" hidden="1" customHeight="1">
      <c r="A623" s="83">
        <v>45902</v>
      </c>
      <c r="B623" s="84" t="s">
        <v>636</v>
      </c>
      <c r="C623" s="77" t="s">
        <v>717</v>
      </c>
      <c r="D623" s="85" t="s">
        <v>718</v>
      </c>
      <c r="E623" s="86" t="s">
        <v>771</v>
      </c>
      <c r="F623" s="89" t="s">
        <v>728</v>
      </c>
      <c r="G623" s="88" t="s">
        <v>721</v>
      </c>
    </row>
    <row r="624" spans="1:11" s="77" customFormat="1" ht="15" hidden="1" customHeight="1">
      <c r="A624" s="83">
        <v>45902</v>
      </c>
      <c r="B624" s="84" t="s">
        <v>636</v>
      </c>
      <c r="C624" s="77" t="s">
        <v>717</v>
      </c>
      <c r="D624" s="85" t="s">
        <v>718</v>
      </c>
      <c r="E624" s="86" t="s">
        <v>772</v>
      </c>
      <c r="F624" s="89" t="s">
        <v>728</v>
      </c>
      <c r="G624" s="88" t="s">
        <v>721</v>
      </c>
    </row>
    <row r="625" spans="1:7" s="77" customFormat="1" ht="15" hidden="1" customHeight="1">
      <c r="A625" s="83">
        <v>45902</v>
      </c>
      <c r="B625" s="84" t="s">
        <v>636</v>
      </c>
      <c r="C625" s="77" t="s">
        <v>717</v>
      </c>
      <c r="D625" s="85" t="s">
        <v>718</v>
      </c>
      <c r="E625" s="86" t="s">
        <v>772</v>
      </c>
      <c r="F625" s="89" t="s">
        <v>728</v>
      </c>
      <c r="G625" s="88" t="s">
        <v>721</v>
      </c>
    </row>
    <row r="626" spans="1:7" s="77" customFormat="1" ht="15" hidden="1" customHeight="1">
      <c r="A626" s="83">
        <v>45904</v>
      </c>
      <c r="B626" s="77" t="s">
        <v>670</v>
      </c>
      <c r="C626" s="77" t="s">
        <v>717</v>
      </c>
      <c r="D626" s="86" t="s">
        <v>726</v>
      </c>
      <c r="E626" s="95" t="s">
        <v>727</v>
      </c>
      <c r="F626" s="89" t="s">
        <v>728</v>
      </c>
      <c r="G626" s="88" t="s">
        <v>721</v>
      </c>
    </row>
    <row r="627" spans="1:7" s="77" customFormat="1" ht="15" hidden="1" customHeight="1">
      <c r="A627" s="83">
        <v>45904</v>
      </c>
      <c r="B627" s="77" t="s">
        <v>670</v>
      </c>
      <c r="C627" s="77" t="s">
        <v>717</v>
      </c>
      <c r="D627" s="86" t="s">
        <v>726</v>
      </c>
      <c r="E627" s="96" t="s">
        <v>729</v>
      </c>
      <c r="F627" s="89" t="s">
        <v>728</v>
      </c>
      <c r="G627" s="88" t="s">
        <v>721</v>
      </c>
    </row>
    <row r="628" spans="1:7" s="77" customFormat="1" ht="15" hidden="1" customHeight="1">
      <c r="A628" s="83">
        <v>45904</v>
      </c>
      <c r="B628" s="77" t="s">
        <v>670</v>
      </c>
      <c r="C628" s="77" t="s">
        <v>717</v>
      </c>
      <c r="D628" s="86" t="s">
        <v>726</v>
      </c>
      <c r="E628" s="96" t="s">
        <v>730</v>
      </c>
      <c r="F628" s="89" t="s">
        <v>728</v>
      </c>
      <c r="G628" s="88" t="s">
        <v>721</v>
      </c>
    </row>
    <row r="629" spans="1:7" s="77" customFormat="1" ht="15" hidden="1" customHeight="1">
      <c r="A629" s="83">
        <v>45904</v>
      </c>
      <c r="B629" s="77" t="s">
        <v>670</v>
      </c>
      <c r="C629" s="77" t="s">
        <v>717</v>
      </c>
      <c r="D629" s="86" t="s">
        <v>726</v>
      </c>
      <c r="E629" s="96" t="s">
        <v>731</v>
      </c>
      <c r="F629" s="89" t="s">
        <v>728</v>
      </c>
      <c r="G629" s="88" t="s">
        <v>721</v>
      </c>
    </row>
    <row r="630" spans="1:7" s="77" customFormat="1" ht="15" hidden="1" customHeight="1">
      <c r="A630" s="83">
        <v>45904</v>
      </c>
      <c r="B630" s="77" t="s">
        <v>670</v>
      </c>
      <c r="C630" s="77" t="s">
        <v>717</v>
      </c>
      <c r="D630" s="86" t="s">
        <v>726</v>
      </c>
      <c r="E630" s="96" t="s">
        <v>732</v>
      </c>
      <c r="F630" s="89" t="s">
        <v>728</v>
      </c>
      <c r="G630" s="88" t="s">
        <v>721</v>
      </c>
    </row>
    <row r="631" spans="1:7" s="77" customFormat="1" ht="15" hidden="1" customHeight="1">
      <c r="A631" s="83">
        <v>45904</v>
      </c>
      <c r="B631" s="77" t="s">
        <v>670</v>
      </c>
      <c r="C631" s="77" t="s">
        <v>717</v>
      </c>
      <c r="D631" s="86" t="s">
        <v>726</v>
      </c>
      <c r="E631" s="96" t="s">
        <v>733</v>
      </c>
      <c r="F631" s="89" t="s">
        <v>728</v>
      </c>
      <c r="G631" s="88" t="s">
        <v>721</v>
      </c>
    </row>
    <row r="632" spans="1:7" s="77" customFormat="1" ht="15" hidden="1" customHeight="1">
      <c r="A632" s="83">
        <v>45904</v>
      </c>
      <c r="B632" s="77" t="s">
        <v>670</v>
      </c>
      <c r="C632" s="77" t="s">
        <v>717</v>
      </c>
      <c r="D632" s="86" t="s">
        <v>726</v>
      </c>
      <c r="E632" s="96" t="s">
        <v>734</v>
      </c>
      <c r="F632" s="89" t="s">
        <v>728</v>
      </c>
      <c r="G632" s="88" t="s">
        <v>721</v>
      </c>
    </row>
    <row r="633" spans="1:7" s="77" customFormat="1" ht="15" hidden="1" customHeight="1">
      <c r="A633" s="83">
        <v>45904</v>
      </c>
      <c r="B633" s="77" t="s">
        <v>670</v>
      </c>
      <c r="C633" s="77" t="s">
        <v>717</v>
      </c>
      <c r="D633" s="86" t="s">
        <v>726</v>
      </c>
      <c r="E633" s="96" t="s">
        <v>735</v>
      </c>
      <c r="F633" s="89" t="s">
        <v>728</v>
      </c>
      <c r="G633" s="88" t="s">
        <v>721</v>
      </c>
    </row>
    <row r="634" spans="1:7" s="77" customFormat="1" ht="15" hidden="1" customHeight="1">
      <c r="A634" s="83">
        <v>45904</v>
      </c>
      <c r="B634" s="77" t="s">
        <v>670</v>
      </c>
      <c r="C634" s="77" t="s">
        <v>717</v>
      </c>
      <c r="D634" s="86" t="s">
        <v>736</v>
      </c>
      <c r="E634" s="96" t="s">
        <v>737</v>
      </c>
      <c r="F634" s="89" t="s">
        <v>728</v>
      </c>
      <c r="G634" s="88" t="s">
        <v>721</v>
      </c>
    </row>
    <row r="635" spans="1:7" s="77" customFormat="1" ht="15" hidden="1" customHeight="1">
      <c r="A635" s="83">
        <v>45904</v>
      </c>
      <c r="B635" s="77" t="s">
        <v>670</v>
      </c>
      <c r="C635" s="77" t="s">
        <v>717</v>
      </c>
      <c r="D635" s="86" t="s">
        <v>736</v>
      </c>
      <c r="E635" s="96" t="s">
        <v>738</v>
      </c>
      <c r="F635" s="89" t="s">
        <v>728</v>
      </c>
      <c r="G635" s="88" t="s">
        <v>721</v>
      </c>
    </row>
    <row r="636" spans="1:7" s="77" customFormat="1" ht="15" hidden="1" customHeight="1">
      <c r="A636" s="83">
        <v>45904</v>
      </c>
      <c r="B636" s="77" t="s">
        <v>670</v>
      </c>
      <c r="C636" s="77" t="s">
        <v>717</v>
      </c>
      <c r="D636" s="85" t="s">
        <v>739</v>
      </c>
      <c r="E636" s="96" t="s">
        <v>740</v>
      </c>
      <c r="F636" s="98" t="s">
        <v>801</v>
      </c>
      <c r="G636" s="88" t="s">
        <v>721</v>
      </c>
    </row>
    <row r="637" spans="1:7" s="77" customFormat="1" ht="15" hidden="1" customHeight="1">
      <c r="A637" s="83">
        <v>45904</v>
      </c>
      <c r="B637" s="77" t="s">
        <v>670</v>
      </c>
      <c r="C637" s="77" t="s">
        <v>717</v>
      </c>
      <c r="D637" s="85" t="s">
        <v>739</v>
      </c>
      <c r="E637" s="96" t="s">
        <v>741</v>
      </c>
      <c r="F637" s="98" t="s">
        <v>801</v>
      </c>
      <c r="G637" s="88" t="s">
        <v>721</v>
      </c>
    </row>
    <row r="638" spans="1:7" s="77" customFormat="1" ht="15" hidden="1" customHeight="1">
      <c r="A638" s="83">
        <v>45904</v>
      </c>
      <c r="B638" s="77" t="s">
        <v>670</v>
      </c>
      <c r="C638" s="77" t="s">
        <v>717</v>
      </c>
      <c r="D638" s="85" t="s">
        <v>739</v>
      </c>
      <c r="E638" s="96" t="s">
        <v>743</v>
      </c>
      <c r="F638" s="98" t="s">
        <v>728</v>
      </c>
      <c r="G638" s="88" t="s">
        <v>721</v>
      </c>
    </row>
    <row r="639" spans="1:7" s="77" customFormat="1" ht="15" hidden="1" customHeight="1">
      <c r="A639" s="83">
        <v>45904</v>
      </c>
      <c r="B639" s="77" t="s">
        <v>670</v>
      </c>
      <c r="C639" s="77" t="s">
        <v>717</v>
      </c>
      <c r="D639" s="85" t="s">
        <v>744</v>
      </c>
      <c r="E639" s="96" t="s">
        <v>745</v>
      </c>
      <c r="F639" s="98" t="s">
        <v>728</v>
      </c>
      <c r="G639" s="88" t="s">
        <v>721</v>
      </c>
    </row>
    <row r="640" spans="1:7" s="77" customFormat="1" ht="15" hidden="1" customHeight="1">
      <c r="A640" s="83">
        <v>45904</v>
      </c>
      <c r="B640" s="77" t="s">
        <v>670</v>
      </c>
      <c r="C640" s="77" t="s">
        <v>717</v>
      </c>
      <c r="D640" s="85" t="s">
        <v>744</v>
      </c>
      <c r="E640" s="96" t="s">
        <v>746</v>
      </c>
      <c r="F640" s="98" t="s">
        <v>801</v>
      </c>
      <c r="G640" s="88" t="s">
        <v>721</v>
      </c>
    </row>
    <row r="641" spans="1:7" s="77" customFormat="1" ht="15" hidden="1" customHeight="1">
      <c r="A641" s="83">
        <v>45904</v>
      </c>
      <c r="B641" s="77" t="s">
        <v>670</v>
      </c>
      <c r="C641" s="77" t="s">
        <v>717</v>
      </c>
      <c r="D641" s="85" t="s">
        <v>744</v>
      </c>
      <c r="E641" s="96" t="s">
        <v>747</v>
      </c>
      <c r="F641" s="98" t="s">
        <v>801</v>
      </c>
      <c r="G641" s="88" t="s">
        <v>721</v>
      </c>
    </row>
    <row r="642" spans="1:7" s="77" customFormat="1" ht="15" hidden="1" customHeight="1">
      <c r="A642" s="83">
        <v>45904</v>
      </c>
      <c r="B642" s="77" t="s">
        <v>670</v>
      </c>
      <c r="C642" s="77" t="s">
        <v>717</v>
      </c>
      <c r="D642" s="85" t="s">
        <v>744</v>
      </c>
      <c r="E642" s="96" t="s">
        <v>748</v>
      </c>
      <c r="F642" s="98" t="s">
        <v>801</v>
      </c>
      <c r="G642" s="88" t="s">
        <v>721</v>
      </c>
    </row>
    <row r="643" spans="1:7" s="77" customFormat="1" ht="15" hidden="1" customHeight="1">
      <c r="A643" s="83">
        <v>45904</v>
      </c>
      <c r="B643" s="77" t="s">
        <v>670</v>
      </c>
      <c r="C643" s="77" t="s">
        <v>717</v>
      </c>
      <c r="D643" s="85" t="s">
        <v>744</v>
      </c>
      <c r="E643" s="96" t="s">
        <v>749</v>
      </c>
      <c r="F643" s="89" t="s">
        <v>728</v>
      </c>
      <c r="G643" s="88" t="s">
        <v>721</v>
      </c>
    </row>
    <row r="644" spans="1:7" s="77" customFormat="1" ht="15" hidden="1" customHeight="1">
      <c r="A644" s="83">
        <v>45904</v>
      </c>
      <c r="B644" s="77" t="s">
        <v>670</v>
      </c>
      <c r="C644" s="77" t="s">
        <v>717</v>
      </c>
      <c r="D644" s="85" t="s">
        <v>750</v>
      </c>
      <c r="E644" s="96" t="s">
        <v>751</v>
      </c>
      <c r="F644" s="89" t="s">
        <v>728</v>
      </c>
      <c r="G644" s="88" t="s">
        <v>721</v>
      </c>
    </row>
    <row r="645" spans="1:7" s="77" customFormat="1" ht="15" hidden="1" customHeight="1">
      <c r="A645" s="83">
        <v>45904</v>
      </c>
      <c r="B645" s="77" t="s">
        <v>670</v>
      </c>
      <c r="C645" s="77" t="s">
        <v>717</v>
      </c>
      <c r="D645" s="85" t="s">
        <v>750</v>
      </c>
      <c r="E645" s="96" t="s">
        <v>752</v>
      </c>
      <c r="F645" s="89" t="s">
        <v>728</v>
      </c>
      <c r="G645" s="88" t="s">
        <v>721</v>
      </c>
    </row>
    <row r="646" spans="1:7" s="77" customFormat="1" ht="15" hidden="1" customHeight="1">
      <c r="A646" s="83">
        <v>45904</v>
      </c>
      <c r="B646" s="77" t="s">
        <v>670</v>
      </c>
      <c r="C646" s="77" t="s">
        <v>717</v>
      </c>
      <c r="D646" s="85" t="s">
        <v>750</v>
      </c>
      <c r="E646" s="96" t="s">
        <v>753</v>
      </c>
      <c r="F646" s="89" t="s">
        <v>728</v>
      </c>
      <c r="G646" s="88" t="s">
        <v>721</v>
      </c>
    </row>
    <row r="647" spans="1:7" s="77" customFormat="1" ht="15" hidden="1" customHeight="1">
      <c r="A647" s="83">
        <v>45904</v>
      </c>
      <c r="B647" s="77" t="s">
        <v>670</v>
      </c>
      <c r="C647" s="77" t="s">
        <v>717</v>
      </c>
      <c r="D647" s="85" t="s">
        <v>750</v>
      </c>
      <c r="E647" s="96" t="s">
        <v>754</v>
      </c>
      <c r="F647" s="98" t="s">
        <v>802</v>
      </c>
      <c r="G647" s="88" t="s">
        <v>721</v>
      </c>
    </row>
    <row r="648" spans="1:7" s="77" customFormat="1" ht="15" hidden="1" customHeight="1">
      <c r="A648" s="83">
        <v>45904</v>
      </c>
      <c r="B648" s="77" t="s">
        <v>670</v>
      </c>
      <c r="C648" s="77" t="s">
        <v>717</v>
      </c>
      <c r="D648" s="85" t="s">
        <v>755</v>
      </c>
      <c r="E648" s="86" t="s">
        <v>756</v>
      </c>
      <c r="F648" s="98" t="s">
        <v>802</v>
      </c>
      <c r="G648" s="88" t="s">
        <v>721</v>
      </c>
    </row>
    <row r="649" spans="1:7" s="77" customFormat="1" ht="15" hidden="1" customHeight="1">
      <c r="A649" s="83">
        <v>45904</v>
      </c>
      <c r="B649" s="77" t="s">
        <v>670</v>
      </c>
      <c r="C649" s="77" t="s">
        <v>717</v>
      </c>
      <c r="D649" s="85" t="s">
        <v>755</v>
      </c>
      <c r="E649" s="96" t="s">
        <v>757</v>
      </c>
      <c r="F649" s="89" t="s">
        <v>728</v>
      </c>
      <c r="G649" s="88" t="s">
        <v>721</v>
      </c>
    </row>
    <row r="650" spans="1:7" s="77" customFormat="1" ht="15" hidden="1" customHeight="1">
      <c r="A650" s="83">
        <v>45904</v>
      </c>
      <c r="B650" s="77" t="s">
        <v>670</v>
      </c>
      <c r="C650" s="77" t="s">
        <v>717</v>
      </c>
      <c r="D650" s="85" t="s">
        <v>758</v>
      </c>
      <c r="E650" s="96" t="s">
        <v>759</v>
      </c>
      <c r="F650" s="89" t="s">
        <v>728</v>
      </c>
      <c r="G650" s="88" t="s">
        <v>721</v>
      </c>
    </row>
    <row r="651" spans="1:7" s="77" customFormat="1" ht="15" hidden="1" customHeight="1">
      <c r="A651" s="83">
        <v>45904</v>
      </c>
      <c r="B651" s="77" t="s">
        <v>670</v>
      </c>
      <c r="C651" s="77" t="s">
        <v>717</v>
      </c>
      <c r="D651" s="85" t="s">
        <v>758</v>
      </c>
      <c r="E651" s="96" t="s">
        <v>760</v>
      </c>
      <c r="F651" s="89" t="s">
        <v>728</v>
      </c>
      <c r="G651" s="88" t="s">
        <v>721</v>
      </c>
    </row>
    <row r="652" spans="1:7" s="77" customFormat="1" ht="15" hidden="1" customHeight="1">
      <c r="A652" s="83">
        <v>45904</v>
      </c>
      <c r="B652" s="77" t="s">
        <v>670</v>
      </c>
      <c r="C652" s="77" t="s">
        <v>717</v>
      </c>
      <c r="D652" s="85" t="s">
        <v>758</v>
      </c>
      <c r="E652" s="96" t="s">
        <v>761</v>
      </c>
      <c r="F652" s="89" t="s">
        <v>728</v>
      </c>
      <c r="G652" s="88" t="s">
        <v>721</v>
      </c>
    </row>
    <row r="653" spans="1:7" s="77" customFormat="1" ht="15" hidden="1" customHeight="1">
      <c r="A653" s="83">
        <v>45904</v>
      </c>
      <c r="B653" s="77" t="s">
        <v>670</v>
      </c>
      <c r="C653" s="77" t="s">
        <v>717</v>
      </c>
      <c r="D653" s="85" t="s">
        <v>758</v>
      </c>
      <c r="E653" s="96" t="s">
        <v>762</v>
      </c>
      <c r="F653" s="89" t="s">
        <v>728</v>
      </c>
      <c r="G653" s="88" t="s">
        <v>721</v>
      </c>
    </row>
    <row r="654" spans="1:7" s="77" customFormat="1" ht="15" hidden="1" customHeight="1">
      <c r="A654" s="83">
        <v>45904</v>
      </c>
      <c r="B654" s="77" t="s">
        <v>670</v>
      </c>
      <c r="C654" s="77" t="s">
        <v>717</v>
      </c>
      <c r="D654" s="85" t="s">
        <v>758</v>
      </c>
      <c r="E654" s="96" t="s">
        <v>763</v>
      </c>
      <c r="F654" s="89" t="s">
        <v>728</v>
      </c>
      <c r="G654" s="88" t="s">
        <v>721</v>
      </c>
    </row>
    <row r="655" spans="1:7" s="77" customFormat="1" ht="15" hidden="1" customHeight="1">
      <c r="A655" s="83">
        <v>45904</v>
      </c>
      <c r="B655" s="77" t="s">
        <v>670</v>
      </c>
      <c r="C655" s="77" t="s">
        <v>717</v>
      </c>
      <c r="D655" s="85" t="s">
        <v>758</v>
      </c>
      <c r="E655" s="96" t="s">
        <v>764</v>
      </c>
      <c r="F655" s="89" t="s">
        <v>728</v>
      </c>
      <c r="G655" s="88" t="s">
        <v>721</v>
      </c>
    </row>
    <row r="656" spans="1:7" s="77" customFormat="1" ht="15" hidden="1" customHeight="1">
      <c r="A656" s="83">
        <v>45904</v>
      </c>
      <c r="B656" s="77" t="s">
        <v>670</v>
      </c>
      <c r="C656" s="77" t="s">
        <v>717</v>
      </c>
      <c r="D656" s="85" t="s">
        <v>718</v>
      </c>
      <c r="E656" s="96" t="s">
        <v>719</v>
      </c>
      <c r="F656" s="99">
        <v>45931</v>
      </c>
      <c r="G656" s="88" t="s">
        <v>721</v>
      </c>
    </row>
    <row r="657" spans="1:11" s="77" customFormat="1" ht="15" hidden="1" customHeight="1">
      <c r="A657" s="83">
        <v>45904</v>
      </c>
      <c r="B657" s="77" t="s">
        <v>670</v>
      </c>
      <c r="C657" s="77" t="s">
        <v>717</v>
      </c>
      <c r="D657" s="85" t="s">
        <v>718</v>
      </c>
      <c r="E657" s="86" t="s">
        <v>765</v>
      </c>
      <c r="F657" s="89" t="s">
        <v>728</v>
      </c>
      <c r="G657" s="88" t="s">
        <v>721</v>
      </c>
    </row>
    <row r="658" spans="1:11" s="77" customFormat="1" ht="15" hidden="1" customHeight="1">
      <c r="A658" s="83">
        <v>45904</v>
      </c>
      <c r="B658" s="77" t="s">
        <v>670</v>
      </c>
      <c r="C658" s="77" t="s">
        <v>717</v>
      </c>
      <c r="D658" s="85" t="s">
        <v>718</v>
      </c>
      <c r="E658" s="86" t="s">
        <v>766</v>
      </c>
      <c r="F658" s="89" t="s">
        <v>728</v>
      </c>
      <c r="G658" s="88" t="s">
        <v>721</v>
      </c>
    </row>
    <row r="659" spans="1:11" s="77" customFormat="1" ht="15" hidden="1" customHeight="1">
      <c r="A659" s="83">
        <v>45904</v>
      </c>
      <c r="B659" s="77" t="s">
        <v>670</v>
      </c>
      <c r="C659" s="77" t="s">
        <v>717</v>
      </c>
      <c r="D659" s="85" t="s">
        <v>718</v>
      </c>
      <c r="E659" s="86" t="s">
        <v>767</v>
      </c>
      <c r="F659" s="89" t="s">
        <v>728</v>
      </c>
      <c r="G659" s="88" t="s">
        <v>721</v>
      </c>
    </row>
    <row r="660" spans="1:11" s="77" customFormat="1" ht="15" hidden="1" customHeight="1">
      <c r="A660" s="83">
        <v>45904</v>
      </c>
      <c r="B660" s="77" t="s">
        <v>670</v>
      </c>
      <c r="C660" s="77" t="s">
        <v>717</v>
      </c>
      <c r="D660" s="85" t="s">
        <v>718</v>
      </c>
      <c r="E660" s="86" t="s">
        <v>768</v>
      </c>
      <c r="F660" s="89" t="s">
        <v>728</v>
      </c>
      <c r="G660" s="88" t="s">
        <v>721</v>
      </c>
    </row>
    <row r="661" spans="1:11" s="77" customFormat="1" ht="15" hidden="1" customHeight="1">
      <c r="A661" s="83">
        <v>45904</v>
      </c>
      <c r="B661" s="77" t="s">
        <v>670</v>
      </c>
      <c r="C661" s="77" t="s">
        <v>717</v>
      </c>
      <c r="D661" s="85" t="s">
        <v>718</v>
      </c>
      <c r="E661" s="86" t="s">
        <v>769</v>
      </c>
      <c r="F661" s="89" t="s">
        <v>728</v>
      </c>
      <c r="G661" s="88" t="s">
        <v>721</v>
      </c>
    </row>
    <row r="662" spans="1:11" s="77" customFormat="1" ht="15" hidden="1" customHeight="1">
      <c r="A662" s="83">
        <v>45904</v>
      </c>
      <c r="B662" s="77" t="s">
        <v>670</v>
      </c>
      <c r="C662" s="77" t="s">
        <v>717</v>
      </c>
      <c r="D662" s="85" t="s">
        <v>718</v>
      </c>
      <c r="E662" s="86" t="s">
        <v>770</v>
      </c>
      <c r="F662" s="89" t="s">
        <v>728</v>
      </c>
      <c r="G662" s="88" t="s">
        <v>721</v>
      </c>
    </row>
    <row r="663" spans="1:11" s="77" customFormat="1" ht="15" hidden="1" customHeight="1">
      <c r="A663" s="83">
        <v>45904</v>
      </c>
      <c r="B663" s="77" t="s">
        <v>670</v>
      </c>
      <c r="C663" s="77" t="s">
        <v>717</v>
      </c>
      <c r="D663" s="85" t="s">
        <v>718</v>
      </c>
      <c r="E663" s="86" t="s">
        <v>771</v>
      </c>
      <c r="F663" s="89" t="s">
        <v>728</v>
      </c>
      <c r="G663" s="88" t="s">
        <v>721</v>
      </c>
    </row>
    <row r="664" spans="1:11" s="77" customFormat="1" ht="15" hidden="1" customHeight="1">
      <c r="A664" s="83">
        <v>45904</v>
      </c>
      <c r="B664" s="77" t="s">
        <v>670</v>
      </c>
      <c r="C664" s="77" t="s">
        <v>717</v>
      </c>
      <c r="D664" s="85" t="s">
        <v>718</v>
      </c>
      <c r="E664" s="86" t="s">
        <v>772</v>
      </c>
      <c r="F664" s="89" t="s">
        <v>728</v>
      </c>
      <c r="G664" s="88" t="s">
        <v>721</v>
      </c>
    </row>
    <row r="665" spans="1:11" s="77" customFormat="1" ht="15" hidden="1" customHeight="1">
      <c r="A665" s="83">
        <v>45904</v>
      </c>
      <c r="B665" s="77" t="s">
        <v>670</v>
      </c>
      <c r="C665" s="77" t="s">
        <v>717</v>
      </c>
      <c r="D665" s="85" t="s">
        <v>718</v>
      </c>
      <c r="E665" s="96" t="s">
        <v>803</v>
      </c>
      <c r="F665" s="89" t="s">
        <v>728</v>
      </c>
      <c r="G665" s="88" t="s">
        <v>721</v>
      </c>
    </row>
    <row r="666" spans="1:11" s="77" customFormat="1" ht="15" hidden="1" customHeight="1">
      <c r="A666" s="83">
        <v>45902</v>
      </c>
      <c r="B666" s="77" t="s">
        <v>641</v>
      </c>
      <c r="C666" s="77" t="s">
        <v>717</v>
      </c>
      <c r="D666" s="86" t="s">
        <v>726</v>
      </c>
      <c r="E666" s="95" t="s">
        <v>727</v>
      </c>
      <c r="F666" s="89" t="s">
        <v>728</v>
      </c>
      <c r="G666" s="88" t="s">
        <v>721</v>
      </c>
    </row>
    <row r="667" spans="1:11" s="77" customFormat="1" ht="15" hidden="1" customHeight="1">
      <c r="A667" s="83">
        <v>45902</v>
      </c>
      <c r="B667" s="77" t="s">
        <v>641</v>
      </c>
      <c r="C667" s="77" t="s">
        <v>717</v>
      </c>
      <c r="D667" s="86" t="s">
        <v>726</v>
      </c>
      <c r="E667" s="96" t="s">
        <v>729</v>
      </c>
      <c r="F667" s="89" t="s">
        <v>728</v>
      </c>
      <c r="G667" s="88" t="s">
        <v>721</v>
      </c>
    </row>
    <row r="668" spans="1:11" s="77" customFormat="1" ht="15" hidden="1" customHeight="1">
      <c r="A668" s="83">
        <v>45902</v>
      </c>
      <c r="B668" s="77" t="s">
        <v>641</v>
      </c>
      <c r="C668" s="77" t="s">
        <v>717</v>
      </c>
      <c r="D668" s="86" t="s">
        <v>726</v>
      </c>
      <c r="E668" s="96" t="s">
        <v>730</v>
      </c>
      <c r="F668" s="89" t="s">
        <v>728</v>
      </c>
      <c r="G668" s="88" t="s">
        <v>721</v>
      </c>
    </row>
    <row r="669" spans="1:11" s="77" customFormat="1" ht="15" hidden="1" customHeight="1">
      <c r="A669" s="83">
        <v>45902</v>
      </c>
      <c r="B669" s="77" t="s">
        <v>641</v>
      </c>
      <c r="C669" s="77" t="s">
        <v>717</v>
      </c>
      <c r="D669" s="86" t="s">
        <v>726</v>
      </c>
      <c r="E669" s="96" t="s">
        <v>731</v>
      </c>
      <c r="F669" s="89" t="s">
        <v>728</v>
      </c>
      <c r="G669" s="88" t="s">
        <v>721</v>
      </c>
    </row>
    <row r="670" spans="1:11" ht="15" customHeight="1">
      <c r="A670" s="90">
        <v>45902</v>
      </c>
      <c r="B670" s="78" t="s">
        <v>641</v>
      </c>
      <c r="C670" s="78" t="s">
        <v>717</v>
      </c>
      <c r="D670" s="91" t="s">
        <v>726</v>
      </c>
      <c r="E670" s="78" t="s">
        <v>732</v>
      </c>
      <c r="F670" s="80" t="s">
        <v>804</v>
      </c>
      <c r="G670" s="94">
        <v>1851072</v>
      </c>
      <c r="H670" s="78" t="s">
        <v>354</v>
      </c>
      <c r="I670" s="78" t="s">
        <v>774</v>
      </c>
      <c r="J670" s="78" t="s">
        <v>783</v>
      </c>
      <c r="K670" s="78" t="s">
        <v>354</v>
      </c>
    </row>
    <row r="671" spans="1:11" s="77" customFormat="1" ht="15" hidden="1" customHeight="1">
      <c r="A671" s="83">
        <v>45902</v>
      </c>
      <c r="B671" s="77" t="s">
        <v>641</v>
      </c>
      <c r="C671" s="77" t="s">
        <v>717</v>
      </c>
      <c r="D671" s="86" t="s">
        <v>726</v>
      </c>
      <c r="E671" s="96" t="s">
        <v>733</v>
      </c>
      <c r="F671" s="89" t="s">
        <v>728</v>
      </c>
      <c r="G671" s="88" t="s">
        <v>721</v>
      </c>
    </row>
    <row r="672" spans="1:11" s="77" customFormat="1" ht="15" hidden="1" customHeight="1">
      <c r="A672" s="83">
        <v>45902</v>
      </c>
      <c r="B672" s="77" t="s">
        <v>641</v>
      </c>
      <c r="C672" s="77" t="s">
        <v>717</v>
      </c>
      <c r="D672" s="86" t="s">
        <v>726</v>
      </c>
      <c r="E672" s="96" t="s">
        <v>734</v>
      </c>
      <c r="F672" s="89" t="s">
        <v>728</v>
      </c>
      <c r="G672" s="88" t="s">
        <v>721</v>
      </c>
    </row>
    <row r="673" spans="1:11" s="77" customFormat="1" ht="15" hidden="1" customHeight="1">
      <c r="A673" s="83">
        <v>45902</v>
      </c>
      <c r="B673" s="77" t="s">
        <v>641</v>
      </c>
      <c r="C673" s="77" t="s">
        <v>717</v>
      </c>
      <c r="D673" s="86" t="s">
        <v>726</v>
      </c>
      <c r="E673" s="96" t="s">
        <v>735</v>
      </c>
      <c r="F673" s="89" t="s">
        <v>728</v>
      </c>
      <c r="G673" s="88" t="s">
        <v>721</v>
      </c>
    </row>
    <row r="674" spans="1:11" s="77" customFormat="1" ht="15" hidden="1" customHeight="1">
      <c r="A674" s="83">
        <v>45902</v>
      </c>
      <c r="B674" s="77" t="s">
        <v>641</v>
      </c>
      <c r="C674" s="77" t="s">
        <v>717</v>
      </c>
      <c r="D674" s="86" t="s">
        <v>736</v>
      </c>
      <c r="E674" s="96" t="s">
        <v>737</v>
      </c>
      <c r="F674" s="89" t="s">
        <v>728</v>
      </c>
      <c r="G674" s="88" t="s">
        <v>721</v>
      </c>
    </row>
    <row r="675" spans="1:11" s="77" customFormat="1" ht="15" hidden="1" customHeight="1">
      <c r="A675" s="83">
        <v>45902</v>
      </c>
      <c r="B675" s="77" t="s">
        <v>641</v>
      </c>
      <c r="C675" s="77" t="s">
        <v>717</v>
      </c>
      <c r="D675" s="86" t="s">
        <v>736</v>
      </c>
      <c r="E675" s="96" t="s">
        <v>738</v>
      </c>
      <c r="F675" s="89" t="s">
        <v>728</v>
      </c>
      <c r="G675" s="88" t="s">
        <v>721</v>
      </c>
    </row>
    <row r="676" spans="1:11" ht="15" customHeight="1">
      <c r="A676" s="90">
        <v>45902</v>
      </c>
      <c r="B676" s="78" t="s">
        <v>641</v>
      </c>
      <c r="C676" s="78" t="s">
        <v>717</v>
      </c>
      <c r="D676" s="92" t="s">
        <v>739</v>
      </c>
      <c r="E676" s="78" t="s">
        <v>740</v>
      </c>
      <c r="F676" s="80" t="s">
        <v>805</v>
      </c>
      <c r="G676" s="94">
        <v>1851074</v>
      </c>
      <c r="H676" s="78" t="s">
        <v>354</v>
      </c>
      <c r="I676" s="78" t="s">
        <v>774</v>
      </c>
      <c r="J676" s="78" t="s">
        <v>783</v>
      </c>
      <c r="K676" s="78" t="s">
        <v>354</v>
      </c>
    </row>
    <row r="677" spans="1:11" s="77" customFormat="1" ht="15" hidden="1" customHeight="1">
      <c r="A677" s="83">
        <v>45902</v>
      </c>
      <c r="B677" s="77" t="s">
        <v>641</v>
      </c>
      <c r="C677" s="77" t="s">
        <v>717</v>
      </c>
      <c r="D677" s="85" t="s">
        <v>739</v>
      </c>
      <c r="E677" s="96" t="s">
        <v>741</v>
      </c>
      <c r="F677" s="89" t="s">
        <v>728</v>
      </c>
      <c r="G677" s="88" t="s">
        <v>721</v>
      </c>
    </row>
    <row r="678" spans="1:11" s="77" customFormat="1" ht="15" hidden="1" customHeight="1">
      <c r="A678" s="83">
        <v>45902</v>
      </c>
      <c r="B678" s="77" t="s">
        <v>641</v>
      </c>
      <c r="C678" s="77" t="s">
        <v>717</v>
      </c>
      <c r="D678" s="85" t="s">
        <v>739</v>
      </c>
      <c r="E678" s="96" t="s">
        <v>743</v>
      </c>
      <c r="F678" s="89" t="s">
        <v>728</v>
      </c>
      <c r="G678" s="88" t="s">
        <v>721</v>
      </c>
    </row>
    <row r="679" spans="1:11" s="77" customFormat="1" ht="15" hidden="1" customHeight="1">
      <c r="A679" s="83">
        <v>45902</v>
      </c>
      <c r="B679" s="77" t="s">
        <v>641</v>
      </c>
      <c r="C679" s="77" t="s">
        <v>717</v>
      </c>
      <c r="D679" s="85" t="s">
        <v>744</v>
      </c>
      <c r="E679" s="96" t="s">
        <v>745</v>
      </c>
      <c r="F679" s="89" t="s">
        <v>728</v>
      </c>
      <c r="G679" s="88" t="s">
        <v>721</v>
      </c>
    </row>
    <row r="680" spans="1:11" s="77" customFormat="1" ht="15" hidden="1" customHeight="1">
      <c r="A680" s="83">
        <v>45902</v>
      </c>
      <c r="B680" s="77" t="s">
        <v>641</v>
      </c>
      <c r="C680" s="77" t="s">
        <v>717</v>
      </c>
      <c r="D680" s="85" t="s">
        <v>744</v>
      </c>
      <c r="E680" s="96" t="s">
        <v>746</v>
      </c>
      <c r="F680" s="89" t="s">
        <v>728</v>
      </c>
      <c r="G680" s="88" t="s">
        <v>721</v>
      </c>
    </row>
    <row r="681" spans="1:11" s="77" customFormat="1" ht="15" hidden="1" customHeight="1">
      <c r="A681" s="83">
        <v>45902</v>
      </c>
      <c r="B681" s="77" t="s">
        <v>641</v>
      </c>
      <c r="C681" s="77" t="s">
        <v>717</v>
      </c>
      <c r="D681" s="85" t="s">
        <v>744</v>
      </c>
      <c r="E681" s="96" t="s">
        <v>747</v>
      </c>
      <c r="F681" s="98" t="s">
        <v>801</v>
      </c>
      <c r="G681" s="88" t="s">
        <v>721</v>
      </c>
    </row>
    <row r="682" spans="1:11" s="77" customFormat="1" ht="15" hidden="1" customHeight="1">
      <c r="A682" s="83">
        <v>45902</v>
      </c>
      <c r="B682" s="77" t="s">
        <v>641</v>
      </c>
      <c r="C682" s="77" t="s">
        <v>717</v>
      </c>
      <c r="D682" s="85" t="s">
        <v>744</v>
      </c>
      <c r="E682" s="96" t="s">
        <v>748</v>
      </c>
      <c r="F682" s="98" t="s">
        <v>801</v>
      </c>
      <c r="G682" s="88" t="s">
        <v>721</v>
      </c>
    </row>
    <row r="683" spans="1:11" s="77" customFormat="1" ht="15" hidden="1" customHeight="1">
      <c r="A683" s="83">
        <v>45902</v>
      </c>
      <c r="B683" s="77" t="s">
        <v>641</v>
      </c>
      <c r="C683" s="77" t="s">
        <v>717</v>
      </c>
      <c r="D683" s="85" t="s">
        <v>744</v>
      </c>
      <c r="E683" s="96" t="s">
        <v>749</v>
      </c>
      <c r="F683" s="98" t="s">
        <v>801</v>
      </c>
      <c r="G683" s="88" t="s">
        <v>721</v>
      </c>
    </row>
    <row r="684" spans="1:11" s="77" customFormat="1" ht="15" hidden="1" customHeight="1">
      <c r="A684" s="83">
        <v>45902</v>
      </c>
      <c r="B684" s="77" t="s">
        <v>641</v>
      </c>
      <c r="C684" s="77" t="s">
        <v>717</v>
      </c>
      <c r="D684" s="85" t="s">
        <v>750</v>
      </c>
      <c r="E684" s="96" t="s">
        <v>751</v>
      </c>
      <c r="F684" s="89" t="s">
        <v>728</v>
      </c>
      <c r="G684" s="88" t="s">
        <v>721</v>
      </c>
    </row>
    <row r="685" spans="1:11" s="77" customFormat="1" ht="15" hidden="1" customHeight="1">
      <c r="A685" s="83">
        <v>45902</v>
      </c>
      <c r="B685" s="77" t="s">
        <v>641</v>
      </c>
      <c r="C685" s="77" t="s">
        <v>717</v>
      </c>
      <c r="D685" s="85" t="s">
        <v>750</v>
      </c>
      <c r="E685" s="96" t="s">
        <v>752</v>
      </c>
      <c r="F685" s="89" t="s">
        <v>728</v>
      </c>
      <c r="G685" s="88" t="s">
        <v>721</v>
      </c>
    </row>
    <row r="686" spans="1:11" s="77" customFormat="1" ht="15" hidden="1" customHeight="1">
      <c r="A686" s="83">
        <v>45902</v>
      </c>
      <c r="B686" s="77" t="s">
        <v>641</v>
      </c>
      <c r="C686" s="77" t="s">
        <v>717</v>
      </c>
      <c r="D686" s="85" t="s">
        <v>750</v>
      </c>
      <c r="E686" s="96" t="s">
        <v>753</v>
      </c>
      <c r="F686" s="89" t="s">
        <v>728</v>
      </c>
      <c r="G686" s="88" t="s">
        <v>721</v>
      </c>
    </row>
    <row r="687" spans="1:11" ht="15" customHeight="1">
      <c r="A687" s="90">
        <v>45902</v>
      </c>
      <c r="B687" s="78" t="s">
        <v>641</v>
      </c>
      <c r="C687" s="78" t="s">
        <v>717</v>
      </c>
      <c r="D687" s="92" t="s">
        <v>750</v>
      </c>
      <c r="E687" s="78" t="s">
        <v>754</v>
      </c>
      <c r="F687" s="80" t="s">
        <v>806</v>
      </c>
      <c r="G687" s="94">
        <v>1854910</v>
      </c>
      <c r="H687" s="78" t="s">
        <v>354</v>
      </c>
      <c r="I687" s="78" t="s">
        <v>807</v>
      </c>
      <c r="J687" s="78" t="s">
        <v>779</v>
      </c>
      <c r="K687" s="78" t="s">
        <v>354</v>
      </c>
    </row>
    <row r="688" spans="1:11" s="77" customFormat="1" ht="15" hidden="1" customHeight="1">
      <c r="A688" s="83">
        <v>45902</v>
      </c>
      <c r="B688" s="77" t="s">
        <v>641</v>
      </c>
      <c r="C688" s="77" t="s">
        <v>717</v>
      </c>
      <c r="D688" s="85" t="s">
        <v>755</v>
      </c>
      <c r="E688" s="86" t="s">
        <v>756</v>
      </c>
      <c r="F688" s="98" t="s">
        <v>802</v>
      </c>
      <c r="G688" s="88" t="s">
        <v>721</v>
      </c>
    </row>
    <row r="689" spans="1:11" s="77" customFormat="1" ht="15" hidden="1" customHeight="1">
      <c r="A689" s="83">
        <v>45902</v>
      </c>
      <c r="B689" s="77" t="s">
        <v>641</v>
      </c>
      <c r="C689" s="77" t="s">
        <v>717</v>
      </c>
      <c r="D689" s="85" t="s">
        <v>755</v>
      </c>
      <c r="E689" s="96" t="s">
        <v>757</v>
      </c>
      <c r="F689" s="98" t="s">
        <v>802</v>
      </c>
      <c r="G689" s="88" t="s">
        <v>721</v>
      </c>
    </row>
    <row r="690" spans="1:11" ht="15" customHeight="1">
      <c r="A690" s="90">
        <v>45902</v>
      </c>
      <c r="B690" s="78" t="s">
        <v>641</v>
      </c>
      <c r="C690" s="78" t="s">
        <v>717</v>
      </c>
      <c r="D690" s="92" t="s">
        <v>758</v>
      </c>
      <c r="E690" s="78" t="s">
        <v>759</v>
      </c>
      <c r="F690" s="80" t="s">
        <v>808</v>
      </c>
      <c r="G690" s="94">
        <v>1854910</v>
      </c>
      <c r="J690" s="78"/>
    </row>
    <row r="691" spans="1:11" s="77" customFormat="1" ht="15" hidden="1" customHeight="1">
      <c r="A691" s="83">
        <v>45902</v>
      </c>
      <c r="B691" s="77" t="s">
        <v>641</v>
      </c>
      <c r="C691" s="77" t="s">
        <v>717</v>
      </c>
      <c r="D691" s="85" t="s">
        <v>758</v>
      </c>
      <c r="E691" s="96" t="s">
        <v>760</v>
      </c>
      <c r="F691" s="89" t="s">
        <v>728</v>
      </c>
      <c r="G691" s="88" t="s">
        <v>721</v>
      </c>
    </row>
    <row r="692" spans="1:11" s="77" customFormat="1" ht="15" hidden="1" customHeight="1">
      <c r="A692" s="83">
        <v>45902</v>
      </c>
      <c r="B692" s="77" t="s">
        <v>641</v>
      </c>
      <c r="C692" s="77" t="s">
        <v>717</v>
      </c>
      <c r="D692" s="85" t="s">
        <v>758</v>
      </c>
      <c r="E692" s="96" t="s">
        <v>761</v>
      </c>
      <c r="F692" s="89" t="s">
        <v>728</v>
      </c>
      <c r="G692" s="88" t="s">
        <v>721</v>
      </c>
    </row>
    <row r="693" spans="1:11" s="77" customFormat="1" ht="15" hidden="1" customHeight="1">
      <c r="A693" s="83">
        <v>45902</v>
      </c>
      <c r="B693" s="77" t="s">
        <v>641</v>
      </c>
      <c r="C693" s="77" t="s">
        <v>717</v>
      </c>
      <c r="D693" s="85" t="s">
        <v>758</v>
      </c>
      <c r="E693" s="96" t="s">
        <v>762</v>
      </c>
      <c r="F693" s="89" t="s">
        <v>728</v>
      </c>
      <c r="G693" s="88" t="s">
        <v>721</v>
      </c>
    </row>
    <row r="694" spans="1:11" s="77" customFormat="1" ht="15" hidden="1" customHeight="1">
      <c r="A694" s="83">
        <v>45902</v>
      </c>
      <c r="B694" s="77" t="s">
        <v>641</v>
      </c>
      <c r="C694" s="77" t="s">
        <v>717</v>
      </c>
      <c r="D694" s="85" t="s">
        <v>758</v>
      </c>
      <c r="E694" s="96" t="s">
        <v>763</v>
      </c>
      <c r="F694" s="89" t="s">
        <v>728</v>
      </c>
      <c r="G694" s="88" t="s">
        <v>721</v>
      </c>
    </row>
    <row r="695" spans="1:11" s="77" customFormat="1" ht="15" hidden="1" customHeight="1">
      <c r="A695" s="83">
        <v>45902</v>
      </c>
      <c r="B695" s="77" t="s">
        <v>641</v>
      </c>
      <c r="C695" s="77" t="s">
        <v>717</v>
      </c>
      <c r="D695" s="85" t="s">
        <v>758</v>
      </c>
      <c r="E695" s="96" t="s">
        <v>764</v>
      </c>
      <c r="F695" s="89" t="s">
        <v>728</v>
      </c>
      <c r="G695" s="88" t="s">
        <v>721</v>
      </c>
    </row>
    <row r="696" spans="1:11" s="77" customFormat="1" ht="15" hidden="1" customHeight="1">
      <c r="A696" s="83">
        <v>45902</v>
      </c>
      <c r="B696" s="77" t="s">
        <v>641</v>
      </c>
      <c r="C696" s="77" t="s">
        <v>717</v>
      </c>
      <c r="D696" s="85" t="s">
        <v>718</v>
      </c>
      <c r="E696" s="96" t="s">
        <v>719</v>
      </c>
      <c r="F696" s="89" t="s">
        <v>728</v>
      </c>
      <c r="G696" s="88" t="s">
        <v>721</v>
      </c>
    </row>
    <row r="697" spans="1:11" ht="15" customHeight="1">
      <c r="A697" s="90">
        <v>45902</v>
      </c>
      <c r="B697" s="78" t="s">
        <v>641</v>
      </c>
      <c r="C697" s="78" t="s">
        <v>717</v>
      </c>
      <c r="D697" s="92" t="s">
        <v>718</v>
      </c>
      <c r="E697" s="91" t="s">
        <v>765</v>
      </c>
      <c r="F697" s="80" t="s">
        <v>809</v>
      </c>
      <c r="G697" s="94">
        <v>1854910</v>
      </c>
      <c r="H697" s="78" t="s">
        <v>354</v>
      </c>
      <c r="I697" s="78" t="s">
        <v>724</v>
      </c>
      <c r="J697" s="78" t="s">
        <v>725</v>
      </c>
      <c r="K697" s="78" t="s">
        <v>354</v>
      </c>
    </row>
    <row r="698" spans="1:11" s="77" customFormat="1" ht="15" hidden="1" customHeight="1">
      <c r="A698" s="83">
        <v>45902</v>
      </c>
      <c r="B698" s="77" t="s">
        <v>641</v>
      </c>
      <c r="C698" s="77" t="s">
        <v>717</v>
      </c>
      <c r="D698" s="85" t="s">
        <v>718</v>
      </c>
      <c r="E698" s="86" t="s">
        <v>766</v>
      </c>
      <c r="F698" s="89" t="s">
        <v>728</v>
      </c>
      <c r="G698" s="88" t="s">
        <v>721</v>
      </c>
    </row>
    <row r="699" spans="1:11" s="77" customFormat="1" ht="15" hidden="1" customHeight="1">
      <c r="A699" s="83">
        <v>45902</v>
      </c>
      <c r="B699" s="77" t="s">
        <v>641</v>
      </c>
      <c r="C699" s="77" t="s">
        <v>717</v>
      </c>
      <c r="D699" s="85" t="s">
        <v>718</v>
      </c>
      <c r="E699" s="86" t="s">
        <v>767</v>
      </c>
      <c r="F699" s="89" t="s">
        <v>728</v>
      </c>
      <c r="G699" s="88" t="s">
        <v>721</v>
      </c>
    </row>
    <row r="700" spans="1:11" ht="15" customHeight="1">
      <c r="A700" s="90">
        <v>45902</v>
      </c>
      <c r="B700" s="78" t="s">
        <v>641</v>
      </c>
      <c r="C700" s="78" t="s">
        <v>717</v>
      </c>
      <c r="D700" s="92" t="s">
        <v>718</v>
      </c>
      <c r="E700" s="91" t="s">
        <v>768</v>
      </c>
      <c r="F700" s="80" t="s">
        <v>810</v>
      </c>
      <c r="G700" s="94">
        <v>1854910</v>
      </c>
      <c r="H700" s="78" t="s">
        <v>354</v>
      </c>
      <c r="I700" s="78" t="s">
        <v>774</v>
      </c>
      <c r="J700" s="78" t="s">
        <v>725</v>
      </c>
      <c r="K700" s="78" t="s">
        <v>354</v>
      </c>
    </row>
    <row r="701" spans="1:11" s="77" customFormat="1" ht="15" hidden="1" customHeight="1">
      <c r="A701" s="83">
        <v>45902</v>
      </c>
      <c r="B701" s="77" t="s">
        <v>641</v>
      </c>
      <c r="C701" s="77" t="s">
        <v>717</v>
      </c>
      <c r="D701" s="85" t="s">
        <v>718</v>
      </c>
      <c r="E701" s="86" t="s">
        <v>769</v>
      </c>
      <c r="F701" s="89" t="s">
        <v>728</v>
      </c>
      <c r="G701" s="88" t="s">
        <v>721</v>
      </c>
    </row>
    <row r="702" spans="1:11" s="77" customFormat="1" ht="15" hidden="1" customHeight="1">
      <c r="A702" s="83">
        <v>45902</v>
      </c>
      <c r="B702" s="77" t="s">
        <v>641</v>
      </c>
      <c r="C702" s="77" t="s">
        <v>717</v>
      </c>
      <c r="D702" s="85" t="s">
        <v>718</v>
      </c>
      <c r="E702" s="86" t="s">
        <v>770</v>
      </c>
      <c r="F702" s="89" t="s">
        <v>728</v>
      </c>
      <c r="G702" s="88" t="s">
        <v>721</v>
      </c>
    </row>
    <row r="703" spans="1:11" s="77" customFormat="1" ht="15" hidden="1" customHeight="1">
      <c r="A703" s="83">
        <v>45902</v>
      </c>
      <c r="B703" s="77" t="s">
        <v>641</v>
      </c>
      <c r="C703" s="77" t="s">
        <v>717</v>
      </c>
      <c r="D703" s="85" t="s">
        <v>718</v>
      </c>
      <c r="E703" s="86" t="s">
        <v>771</v>
      </c>
      <c r="F703" s="89" t="s">
        <v>728</v>
      </c>
      <c r="G703" s="88" t="s">
        <v>721</v>
      </c>
    </row>
    <row r="704" spans="1:11" s="77" customFormat="1" ht="15" hidden="1" customHeight="1">
      <c r="A704" s="83">
        <v>45902</v>
      </c>
      <c r="B704" s="77" t="s">
        <v>641</v>
      </c>
      <c r="C704" s="77" t="s">
        <v>717</v>
      </c>
      <c r="D704" s="85" t="s">
        <v>718</v>
      </c>
      <c r="E704" s="86" t="s">
        <v>772</v>
      </c>
      <c r="F704" s="89" t="s">
        <v>728</v>
      </c>
      <c r="G704" s="88" t="s">
        <v>721</v>
      </c>
    </row>
    <row r="705" spans="1:7" s="77" customFormat="1" ht="15" hidden="1" customHeight="1">
      <c r="A705" s="83">
        <v>45902</v>
      </c>
      <c r="B705" s="77" t="s">
        <v>641</v>
      </c>
      <c r="C705" s="77" t="s">
        <v>717</v>
      </c>
      <c r="D705" s="85" t="s">
        <v>718</v>
      </c>
      <c r="E705" s="96" t="s">
        <v>803</v>
      </c>
      <c r="F705" s="89" t="s">
        <v>728</v>
      </c>
      <c r="G705" s="88" t="s">
        <v>721</v>
      </c>
    </row>
    <row r="706" spans="1:7" s="77" customFormat="1" ht="15" hidden="1" customHeight="1">
      <c r="A706" s="83">
        <v>45902</v>
      </c>
      <c r="B706" s="77" t="s">
        <v>638</v>
      </c>
      <c r="C706" s="77" t="s">
        <v>717</v>
      </c>
      <c r="D706" s="86" t="s">
        <v>726</v>
      </c>
      <c r="E706" s="95" t="s">
        <v>727</v>
      </c>
      <c r="F706" s="89" t="s">
        <v>728</v>
      </c>
      <c r="G706" s="88" t="s">
        <v>721</v>
      </c>
    </row>
    <row r="707" spans="1:7" s="77" customFormat="1" ht="15" hidden="1" customHeight="1">
      <c r="A707" s="83">
        <v>45902</v>
      </c>
      <c r="B707" s="77" t="s">
        <v>638</v>
      </c>
      <c r="C707" s="77" t="s">
        <v>717</v>
      </c>
      <c r="D707" s="86" t="s">
        <v>726</v>
      </c>
      <c r="E707" s="96" t="s">
        <v>729</v>
      </c>
      <c r="F707" s="89" t="s">
        <v>728</v>
      </c>
      <c r="G707" s="88" t="s">
        <v>721</v>
      </c>
    </row>
    <row r="708" spans="1:7" s="77" customFormat="1" ht="15" hidden="1" customHeight="1">
      <c r="A708" s="83">
        <v>45902</v>
      </c>
      <c r="B708" s="77" t="s">
        <v>638</v>
      </c>
      <c r="C708" s="77" t="s">
        <v>717</v>
      </c>
      <c r="D708" s="86" t="s">
        <v>726</v>
      </c>
      <c r="E708" s="96" t="s">
        <v>730</v>
      </c>
      <c r="F708" s="89" t="s">
        <v>728</v>
      </c>
      <c r="G708" s="88" t="s">
        <v>721</v>
      </c>
    </row>
    <row r="709" spans="1:7" s="77" customFormat="1" ht="15" hidden="1" customHeight="1">
      <c r="A709" s="83">
        <v>45902</v>
      </c>
      <c r="B709" s="77" t="s">
        <v>638</v>
      </c>
      <c r="C709" s="77" t="s">
        <v>717</v>
      </c>
      <c r="D709" s="86" t="s">
        <v>726</v>
      </c>
      <c r="E709" s="96" t="s">
        <v>731</v>
      </c>
      <c r="F709" s="89" t="s">
        <v>728</v>
      </c>
      <c r="G709" s="88" t="s">
        <v>721</v>
      </c>
    </row>
    <row r="710" spans="1:7" s="77" customFormat="1" ht="15" hidden="1" customHeight="1">
      <c r="A710" s="83">
        <v>45902</v>
      </c>
      <c r="B710" s="77" t="s">
        <v>638</v>
      </c>
      <c r="C710" s="77" t="s">
        <v>717</v>
      </c>
      <c r="D710" s="86" t="s">
        <v>726</v>
      </c>
      <c r="E710" s="96" t="s">
        <v>732</v>
      </c>
      <c r="F710" s="89" t="s">
        <v>728</v>
      </c>
      <c r="G710" s="88" t="s">
        <v>721</v>
      </c>
    </row>
    <row r="711" spans="1:7" s="77" customFormat="1" ht="15" hidden="1" customHeight="1">
      <c r="A711" s="83">
        <v>45902</v>
      </c>
      <c r="B711" s="77" t="s">
        <v>638</v>
      </c>
      <c r="C711" s="77" t="s">
        <v>717</v>
      </c>
      <c r="D711" s="86" t="s">
        <v>726</v>
      </c>
      <c r="E711" s="96" t="s">
        <v>733</v>
      </c>
      <c r="F711" s="89" t="s">
        <v>728</v>
      </c>
      <c r="G711" s="88" t="s">
        <v>721</v>
      </c>
    </row>
    <row r="712" spans="1:7" s="77" customFormat="1" ht="15" hidden="1" customHeight="1">
      <c r="A712" s="83">
        <v>45902</v>
      </c>
      <c r="B712" s="77" t="s">
        <v>638</v>
      </c>
      <c r="C712" s="77" t="s">
        <v>717</v>
      </c>
      <c r="D712" s="86" t="s">
        <v>726</v>
      </c>
      <c r="E712" s="96" t="s">
        <v>734</v>
      </c>
      <c r="F712" s="89" t="s">
        <v>728</v>
      </c>
      <c r="G712" s="88" t="s">
        <v>721</v>
      </c>
    </row>
    <row r="713" spans="1:7" s="77" customFormat="1" ht="15" hidden="1" customHeight="1">
      <c r="A713" s="83">
        <v>45902</v>
      </c>
      <c r="B713" s="77" t="s">
        <v>638</v>
      </c>
      <c r="C713" s="77" t="s">
        <v>717</v>
      </c>
      <c r="D713" s="86" t="s">
        <v>726</v>
      </c>
      <c r="E713" s="96" t="s">
        <v>735</v>
      </c>
      <c r="F713" s="89" t="s">
        <v>728</v>
      </c>
      <c r="G713" s="88" t="s">
        <v>721</v>
      </c>
    </row>
    <row r="714" spans="1:7" s="77" customFormat="1" ht="15" hidden="1" customHeight="1">
      <c r="A714" s="83">
        <v>45902</v>
      </c>
      <c r="B714" s="77" t="s">
        <v>638</v>
      </c>
      <c r="C714" s="77" t="s">
        <v>717</v>
      </c>
      <c r="D714" s="86" t="s">
        <v>736</v>
      </c>
      <c r="E714" s="96" t="s">
        <v>737</v>
      </c>
      <c r="F714" s="89" t="s">
        <v>728</v>
      </c>
      <c r="G714" s="88" t="s">
        <v>721</v>
      </c>
    </row>
    <row r="715" spans="1:7" s="77" customFormat="1" ht="15" hidden="1" customHeight="1">
      <c r="A715" s="83">
        <v>45902</v>
      </c>
      <c r="B715" s="77" t="s">
        <v>638</v>
      </c>
      <c r="C715" s="77" t="s">
        <v>717</v>
      </c>
      <c r="D715" s="86" t="s">
        <v>736</v>
      </c>
      <c r="E715" s="96" t="s">
        <v>738</v>
      </c>
      <c r="F715" s="89" t="s">
        <v>728</v>
      </c>
      <c r="G715" s="88" t="s">
        <v>721</v>
      </c>
    </row>
    <row r="716" spans="1:7" s="77" customFormat="1" ht="15" hidden="1" customHeight="1">
      <c r="A716" s="83">
        <v>45902</v>
      </c>
      <c r="B716" s="77" t="s">
        <v>638</v>
      </c>
      <c r="C716" s="77" t="s">
        <v>717</v>
      </c>
      <c r="D716" s="85" t="s">
        <v>739</v>
      </c>
      <c r="E716" s="96" t="s">
        <v>740</v>
      </c>
      <c r="F716" s="89" t="s">
        <v>728</v>
      </c>
      <c r="G716" s="88" t="s">
        <v>721</v>
      </c>
    </row>
    <row r="717" spans="1:7" s="77" customFormat="1" ht="15" hidden="1" customHeight="1">
      <c r="A717" s="83">
        <v>45902</v>
      </c>
      <c r="B717" s="77" t="s">
        <v>638</v>
      </c>
      <c r="C717" s="77" t="s">
        <v>717</v>
      </c>
      <c r="D717" s="85" t="s">
        <v>739</v>
      </c>
      <c r="E717" s="96" t="s">
        <v>741</v>
      </c>
      <c r="F717" s="89" t="s">
        <v>728</v>
      </c>
      <c r="G717" s="88" t="s">
        <v>721</v>
      </c>
    </row>
    <row r="718" spans="1:7" s="77" customFormat="1" ht="15" hidden="1" customHeight="1">
      <c r="A718" s="83">
        <v>45902</v>
      </c>
      <c r="B718" s="77" t="s">
        <v>638</v>
      </c>
      <c r="C718" s="77" t="s">
        <v>717</v>
      </c>
      <c r="D718" s="85" t="s">
        <v>739</v>
      </c>
      <c r="E718" s="96" t="s">
        <v>743</v>
      </c>
      <c r="F718" s="89" t="s">
        <v>728</v>
      </c>
      <c r="G718" s="88" t="s">
        <v>721</v>
      </c>
    </row>
    <row r="719" spans="1:7" s="77" customFormat="1" ht="15" hidden="1" customHeight="1">
      <c r="A719" s="83">
        <v>45902</v>
      </c>
      <c r="B719" s="77" t="s">
        <v>638</v>
      </c>
      <c r="C719" s="77" t="s">
        <v>717</v>
      </c>
      <c r="D719" s="85" t="s">
        <v>744</v>
      </c>
      <c r="E719" s="96" t="s">
        <v>745</v>
      </c>
      <c r="F719" s="89" t="s">
        <v>728</v>
      </c>
      <c r="G719" s="88" t="s">
        <v>721</v>
      </c>
    </row>
    <row r="720" spans="1:7" s="77" customFormat="1" ht="15" hidden="1" customHeight="1">
      <c r="A720" s="83">
        <v>45902</v>
      </c>
      <c r="B720" s="77" t="s">
        <v>638</v>
      </c>
      <c r="C720" s="77" t="s">
        <v>717</v>
      </c>
      <c r="D720" s="85" t="s">
        <v>744</v>
      </c>
      <c r="E720" s="96" t="s">
        <v>746</v>
      </c>
      <c r="F720" s="98" t="s">
        <v>801</v>
      </c>
      <c r="G720" s="88" t="s">
        <v>721</v>
      </c>
    </row>
    <row r="721" spans="1:7" s="77" customFormat="1" ht="15" hidden="1" customHeight="1">
      <c r="A721" s="83">
        <v>45902</v>
      </c>
      <c r="B721" s="77" t="s">
        <v>638</v>
      </c>
      <c r="C721" s="77" t="s">
        <v>717</v>
      </c>
      <c r="D721" s="85" t="s">
        <v>744</v>
      </c>
      <c r="E721" s="96" t="s">
        <v>747</v>
      </c>
      <c r="F721" s="98" t="s">
        <v>801</v>
      </c>
      <c r="G721" s="88" t="s">
        <v>721</v>
      </c>
    </row>
    <row r="722" spans="1:7" s="77" customFormat="1" ht="15" hidden="1" customHeight="1">
      <c r="A722" s="83">
        <v>45902</v>
      </c>
      <c r="B722" s="77" t="s">
        <v>638</v>
      </c>
      <c r="C722" s="77" t="s">
        <v>717</v>
      </c>
      <c r="D722" s="85" t="s">
        <v>744</v>
      </c>
      <c r="E722" s="96" t="s">
        <v>748</v>
      </c>
      <c r="F722" s="98" t="s">
        <v>801</v>
      </c>
      <c r="G722" s="88" t="s">
        <v>721</v>
      </c>
    </row>
    <row r="723" spans="1:7" s="77" customFormat="1" ht="15" hidden="1" customHeight="1">
      <c r="A723" s="83">
        <v>45902</v>
      </c>
      <c r="B723" s="77" t="s">
        <v>638</v>
      </c>
      <c r="C723" s="77" t="s">
        <v>717</v>
      </c>
      <c r="D723" s="85" t="s">
        <v>744</v>
      </c>
      <c r="E723" s="96" t="s">
        <v>749</v>
      </c>
      <c r="F723" s="89" t="s">
        <v>728</v>
      </c>
      <c r="G723" s="88" t="s">
        <v>721</v>
      </c>
    </row>
    <row r="724" spans="1:7" s="77" customFormat="1" ht="15" hidden="1" customHeight="1">
      <c r="A724" s="83">
        <v>45902</v>
      </c>
      <c r="B724" s="77" t="s">
        <v>638</v>
      </c>
      <c r="C724" s="77" t="s">
        <v>717</v>
      </c>
      <c r="D724" s="85" t="s">
        <v>750</v>
      </c>
      <c r="E724" s="96" t="s">
        <v>751</v>
      </c>
      <c r="F724" s="89" t="s">
        <v>728</v>
      </c>
      <c r="G724" s="88" t="s">
        <v>721</v>
      </c>
    </row>
    <row r="725" spans="1:7" s="77" customFormat="1" ht="15" hidden="1" customHeight="1">
      <c r="A725" s="83">
        <v>45902</v>
      </c>
      <c r="B725" s="77" t="s">
        <v>638</v>
      </c>
      <c r="C725" s="77" t="s">
        <v>717</v>
      </c>
      <c r="D725" s="85" t="s">
        <v>750</v>
      </c>
      <c r="E725" s="96" t="s">
        <v>752</v>
      </c>
      <c r="F725" s="89" t="s">
        <v>728</v>
      </c>
      <c r="G725" s="88" t="s">
        <v>721</v>
      </c>
    </row>
    <row r="726" spans="1:7" s="77" customFormat="1" ht="15" hidden="1" customHeight="1">
      <c r="A726" s="83">
        <v>45902</v>
      </c>
      <c r="B726" s="77" t="s">
        <v>638</v>
      </c>
      <c r="C726" s="77" t="s">
        <v>717</v>
      </c>
      <c r="D726" s="85" t="s">
        <v>750</v>
      </c>
      <c r="E726" s="96" t="s">
        <v>753</v>
      </c>
      <c r="F726" s="89" t="s">
        <v>728</v>
      </c>
      <c r="G726" s="88" t="s">
        <v>721</v>
      </c>
    </row>
    <row r="727" spans="1:7" s="77" customFormat="1" ht="15" hidden="1" customHeight="1">
      <c r="A727" s="83">
        <v>45902</v>
      </c>
      <c r="B727" s="77" t="s">
        <v>638</v>
      </c>
      <c r="C727" s="77" t="s">
        <v>717</v>
      </c>
      <c r="D727" s="85" t="s">
        <v>750</v>
      </c>
      <c r="E727" s="96" t="s">
        <v>754</v>
      </c>
      <c r="F727" s="98" t="s">
        <v>802</v>
      </c>
      <c r="G727" s="88" t="s">
        <v>721</v>
      </c>
    </row>
    <row r="728" spans="1:7" s="77" customFormat="1" ht="15" hidden="1" customHeight="1">
      <c r="A728" s="83">
        <v>45902</v>
      </c>
      <c r="B728" s="77" t="s">
        <v>638</v>
      </c>
      <c r="C728" s="77" t="s">
        <v>717</v>
      </c>
      <c r="D728" s="85" t="s">
        <v>755</v>
      </c>
      <c r="E728" s="86" t="s">
        <v>756</v>
      </c>
      <c r="F728" s="98" t="s">
        <v>802</v>
      </c>
      <c r="G728" s="88" t="s">
        <v>721</v>
      </c>
    </row>
    <row r="729" spans="1:7" s="77" customFormat="1" ht="15" hidden="1" customHeight="1">
      <c r="A729" s="83">
        <v>45902</v>
      </c>
      <c r="B729" s="77" t="s">
        <v>638</v>
      </c>
      <c r="C729" s="77" t="s">
        <v>717</v>
      </c>
      <c r="D729" s="85" t="s">
        <v>755</v>
      </c>
      <c r="E729" s="96" t="s">
        <v>757</v>
      </c>
      <c r="F729" s="89" t="s">
        <v>728</v>
      </c>
      <c r="G729" s="88" t="s">
        <v>721</v>
      </c>
    </row>
    <row r="730" spans="1:7" s="77" customFormat="1" ht="15" hidden="1" customHeight="1">
      <c r="A730" s="83">
        <v>45902</v>
      </c>
      <c r="B730" s="77" t="s">
        <v>638</v>
      </c>
      <c r="C730" s="77" t="s">
        <v>717</v>
      </c>
      <c r="D730" s="85" t="s">
        <v>758</v>
      </c>
      <c r="E730" s="96" t="s">
        <v>759</v>
      </c>
      <c r="F730" s="89" t="s">
        <v>728</v>
      </c>
      <c r="G730" s="88" t="s">
        <v>721</v>
      </c>
    </row>
    <row r="731" spans="1:7" s="77" customFormat="1" ht="15" hidden="1" customHeight="1">
      <c r="A731" s="83">
        <v>45902</v>
      </c>
      <c r="B731" s="77" t="s">
        <v>638</v>
      </c>
      <c r="C731" s="77" t="s">
        <v>717</v>
      </c>
      <c r="D731" s="85" t="s">
        <v>758</v>
      </c>
      <c r="E731" s="96" t="s">
        <v>760</v>
      </c>
      <c r="F731" s="89" t="s">
        <v>728</v>
      </c>
      <c r="G731" s="88" t="s">
        <v>721</v>
      </c>
    </row>
    <row r="732" spans="1:7" s="77" customFormat="1" ht="15" hidden="1" customHeight="1">
      <c r="A732" s="83">
        <v>45902</v>
      </c>
      <c r="B732" s="77" t="s">
        <v>638</v>
      </c>
      <c r="C732" s="77" t="s">
        <v>717</v>
      </c>
      <c r="D732" s="85" t="s">
        <v>758</v>
      </c>
      <c r="E732" s="96" t="s">
        <v>761</v>
      </c>
      <c r="F732" s="89" t="s">
        <v>728</v>
      </c>
      <c r="G732" s="88" t="s">
        <v>721</v>
      </c>
    </row>
    <row r="733" spans="1:7" s="77" customFormat="1" ht="15" hidden="1" customHeight="1">
      <c r="A733" s="83">
        <v>45902</v>
      </c>
      <c r="B733" s="77" t="s">
        <v>638</v>
      </c>
      <c r="C733" s="77" t="s">
        <v>717</v>
      </c>
      <c r="D733" s="85" t="s">
        <v>758</v>
      </c>
      <c r="E733" s="96" t="s">
        <v>762</v>
      </c>
      <c r="F733" s="89" t="s">
        <v>728</v>
      </c>
      <c r="G733" s="88" t="s">
        <v>721</v>
      </c>
    </row>
    <row r="734" spans="1:7" s="77" customFormat="1" ht="15" hidden="1" customHeight="1">
      <c r="A734" s="83">
        <v>45902</v>
      </c>
      <c r="B734" s="77" t="s">
        <v>638</v>
      </c>
      <c r="C734" s="77" t="s">
        <v>717</v>
      </c>
      <c r="D734" s="85" t="s">
        <v>758</v>
      </c>
      <c r="E734" s="96" t="s">
        <v>763</v>
      </c>
      <c r="F734" s="89" t="s">
        <v>728</v>
      </c>
      <c r="G734" s="88" t="s">
        <v>721</v>
      </c>
    </row>
    <row r="735" spans="1:7" s="77" customFormat="1" ht="15" hidden="1" customHeight="1">
      <c r="A735" s="83">
        <v>45902</v>
      </c>
      <c r="B735" s="77" t="s">
        <v>638</v>
      </c>
      <c r="C735" s="77" t="s">
        <v>717</v>
      </c>
      <c r="D735" s="85" t="s">
        <v>758</v>
      </c>
      <c r="E735" s="96" t="s">
        <v>764</v>
      </c>
      <c r="F735" s="89" t="s">
        <v>728</v>
      </c>
      <c r="G735" s="88" t="s">
        <v>721</v>
      </c>
    </row>
    <row r="736" spans="1:7" s="77" customFormat="1" ht="15" hidden="1" customHeight="1">
      <c r="A736" s="83">
        <v>45902</v>
      </c>
      <c r="B736" s="77" t="s">
        <v>638</v>
      </c>
      <c r="C736" s="77" t="s">
        <v>717</v>
      </c>
      <c r="D736" s="85" t="s">
        <v>718</v>
      </c>
      <c r="E736" s="96" t="s">
        <v>719</v>
      </c>
      <c r="F736" s="89" t="s">
        <v>728</v>
      </c>
      <c r="G736" s="88" t="s">
        <v>721</v>
      </c>
    </row>
    <row r="737" spans="1:11" s="77" customFormat="1" ht="15" hidden="1" customHeight="1">
      <c r="A737" s="83">
        <v>45902</v>
      </c>
      <c r="B737" s="77" t="s">
        <v>638</v>
      </c>
      <c r="C737" s="77" t="s">
        <v>717</v>
      </c>
      <c r="D737" s="85" t="s">
        <v>718</v>
      </c>
      <c r="E737" s="86" t="s">
        <v>765</v>
      </c>
      <c r="F737" s="89" t="s">
        <v>728</v>
      </c>
      <c r="G737" s="88" t="s">
        <v>721</v>
      </c>
    </row>
    <row r="738" spans="1:11" s="77" customFormat="1" ht="15" hidden="1" customHeight="1">
      <c r="A738" s="83">
        <v>45902</v>
      </c>
      <c r="B738" s="77" t="s">
        <v>638</v>
      </c>
      <c r="C738" s="77" t="s">
        <v>717</v>
      </c>
      <c r="D738" s="85" t="s">
        <v>718</v>
      </c>
      <c r="E738" s="86" t="s">
        <v>766</v>
      </c>
      <c r="F738" s="89" t="s">
        <v>728</v>
      </c>
      <c r="G738" s="88" t="s">
        <v>721</v>
      </c>
    </row>
    <row r="739" spans="1:11" s="77" customFormat="1" ht="15" hidden="1" customHeight="1">
      <c r="A739" s="83">
        <v>45902</v>
      </c>
      <c r="B739" s="77" t="s">
        <v>638</v>
      </c>
      <c r="C739" s="77" t="s">
        <v>717</v>
      </c>
      <c r="D739" s="85" t="s">
        <v>718</v>
      </c>
      <c r="E739" s="86" t="s">
        <v>767</v>
      </c>
      <c r="F739" s="89" t="s">
        <v>728</v>
      </c>
      <c r="G739" s="88" t="s">
        <v>721</v>
      </c>
    </row>
    <row r="740" spans="1:11" s="77" customFormat="1" ht="15" hidden="1" customHeight="1">
      <c r="A740" s="83">
        <v>45902</v>
      </c>
      <c r="B740" s="77" t="s">
        <v>638</v>
      </c>
      <c r="C740" s="77" t="s">
        <v>717</v>
      </c>
      <c r="D740" s="85" t="s">
        <v>718</v>
      </c>
      <c r="E740" s="86" t="s">
        <v>768</v>
      </c>
      <c r="F740" s="89" t="s">
        <v>728</v>
      </c>
      <c r="G740" s="88" t="s">
        <v>721</v>
      </c>
    </row>
    <row r="741" spans="1:11" s="77" customFormat="1" ht="15" hidden="1" customHeight="1">
      <c r="A741" s="83">
        <v>45902</v>
      </c>
      <c r="B741" s="77" t="s">
        <v>638</v>
      </c>
      <c r="C741" s="77" t="s">
        <v>717</v>
      </c>
      <c r="D741" s="85" t="s">
        <v>718</v>
      </c>
      <c r="E741" s="86" t="s">
        <v>769</v>
      </c>
      <c r="F741" s="89" t="s">
        <v>728</v>
      </c>
      <c r="G741" s="88" t="s">
        <v>721</v>
      </c>
    </row>
    <row r="742" spans="1:11" s="77" customFormat="1" ht="15" hidden="1" customHeight="1">
      <c r="A742" s="83">
        <v>45902</v>
      </c>
      <c r="B742" s="77" t="s">
        <v>638</v>
      </c>
      <c r="C742" s="77" t="s">
        <v>717</v>
      </c>
      <c r="D742" s="85" t="s">
        <v>718</v>
      </c>
      <c r="E742" s="86" t="s">
        <v>770</v>
      </c>
      <c r="F742" s="89" t="s">
        <v>728</v>
      </c>
      <c r="G742" s="88" t="s">
        <v>721</v>
      </c>
    </row>
    <row r="743" spans="1:11" s="77" customFormat="1" ht="15" hidden="1" customHeight="1">
      <c r="A743" s="83">
        <v>45902</v>
      </c>
      <c r="B743" s="77" t="s">
        <v>638</v>
      </c>
      <c r="C743" s="77" t="s">
        <v>717</v>
      </c>
      <c r="D743" s="85" t="s">
        <v>718</v>
      </c>
      <c r="E743" s="86" t="s">
        <v>771</v>
      </c>
      <c r="F743" s="89" t="s">
        <v>728</v>
      </c>
      <c r="G743" s="88" t="s">
        <v>721</v>
      </c>
    </row>
    <row r="744" spans="1:11" s="77" customFormat="1" ht="15" hidden="1" customHeight="1">
      <c r="A744" s="83">
        <v>45902</v>
      </c>
      <c r="B744" s="77" t="s">
        <v>638</v>
      </c>
      <c r="C744" s="77" t="s">
        <v>717</v>
      </c>
      <c r="D744" s="85" t="s">
        <v>718</v>
      </c>
      <c r="E744" s="86" t="s">
        <v>772</v>
      </c>
      <c r="F744" s="89" t="s">
        <v>728</v>
      </c>
      <c r="G744" s="88" t="s">
        <v>721</v>
      </c>
    </row>
    <row r="745" spans="1:11" s="77" customFormat="1" ht="15" hidden="1" customHeight="1">
      <c r="A745" s="83">
        <v>45902</v>
      </c>
      <c r="B745" s="77" t="s">
        <v>638</v>
      </c>
      <c r="C745" s="77" t="s">
        <v>717</v>
      </c>
      <c r="D745" s="85" t="s">
        <v>718</v>
      </c>
      <c r="E745" s="96" t="s">
        <v>803</v>
      </c>
      <c r="F745" s="89" t="s">
        <v>728</v>
      </c>
      <c r="G745" s="88" t="s">
        <v>721</v>
      </c>
    </row>
    <row r="746" spans="1:11" ht="15" customHeight="1">
      <c r="A746" s="90">
        <v>45902</v>
      </c>
      <c r="B746" s="78" t="s">
        <v>811</v>
      </c>
      <c r="C746" s="78" t="s">
        <v>717</v>
      </c>
      <c r="D746" s="91" t="s">
        <v>726</v>
      </c>
      <c r="E746" s="100" t="s">
        <v>727</v>
      </c>
      <c r="F746" s="80" t="s">
        <v>812</v>
      </c>
      <c r="G746" s="94">
        <v>1854966</v>
      </c>
      <c r="H746" s="78" t="s">
        <v>354</v>
      </c>
      <c r="I746" s="78" t="s">
        <v>724</v>
      </c>
      <c r="J746" s="78" t="s">
        <v>725</v>
      </c>
      <c r="K746" s="78" t="s">
        <v>354</v>
      </c>
    </row>
    <row r="747" spans="1:11" ht="15" customHeight="1">
      <c r="A747" s="90">
        <v>45902</v>
      </c>
      <c r="B747" s="78" t="s">
        <v>811</v>
      </c>
      <c r="C747" s="78" t="s">
        <v>717</v>
      </c>
      <c r="D747" s="91" t="s">
        <v>726</v>
      </c>
      <c r="E747" s="78" t="s">
        <v>729</v>
      </c>
      <c r="F747" s="80" t="s">
        <v>813</v>
      </c>
      <c r="G747" s="94">
        <v>1854966</v>
      </c>
      <c r="H747" s="78" t="s">
        <v>354</v>
      </c>
      <c r="I747" s="78" t="s">
        <v>724</v>
      </c>
      <c r="J747" s="78" t="s">
        <v>725</v>
      </c>
      <c r="K747" s="78" t="s">
        <v>354</v>
      </c>
    </row>
    <row r="748" spans="1:11" s="77" customFormat="1" ht="15" hidden="1" customHeight="1">
      <c r="A748" s="83">
        <v>45902</v>
      </c>
      <c r="B748" s="77" t="s">
        <v>811</v>
      </c>
      <c r="C748" s="77" t="s">
        <v>717</v>
      </c>
      <c r="D748" s="86" t="s">
        <v>726</v>
      </c>
      <c r="E748" s="96" t="s">
        <v>730</v>
      </c>
      <c r="F748" s="89" t="s">
        <v>728</v>
      </c>
      <c r="G748" s="88" t="s">
        <v>721</v>
      </c>
    </row>
    <row r="749" spans="1:11" s="77" customFormat="1" ht="15" hidden="1" customHeight="1">
      <c r="A749" s="83">
        <v>45902</v>
      </c>
      <c r="B749" s="77" t="s">
        <v>811</v>
      </c>
      <c r="C749" s="77" t="s">
        <v>717</v>
      </c>
      <c r="D749" s="86" t="s">
        <v>726</v>
      </c>
      <c r="E749" s="96" t="s">
        <v>731</v>
      </c>
      <c r="F749" s="89" t="s">
        <v>728</v>
      </c>
      <c r="G749" s="88" t="s">
        <v>721</v>
      </c>
    </row>
    <row r="750" spans="1:11" s="77" customFormat="1" ht="15" hidden="1" customHeight="1">
      <c r="A750" s="83">
        <v>45902</v>
      </c>
      <c r="B750" s="77" t="s">
        <v>811</v>
      </c>
      <c r="C750" s="77" t="s">
        <v>717</v>
      </c>
      <c r="D750" s="86" t="s">
        <v>726</v>
      </c>
      <c r="E750" s="96" t="s">
        <v>732</v>
      </c>
      <c r="F750" s="89" t="s">
        <v>728</v>
      </c>
      <c r="G750" s="88" t="s">
        <v>721</v>
      </c>
    </row>
    <row r="751" spans="1:11" ht="15" customHeight="1">
      <c r="A751" s="90">
        <v>45902</v>
      </c>
      <c r="B751" s="78" t="s">
        <v>811</v>
      </c>
      <c r="C751" s="78" t="s">
        <v>717</v>
      </c>
      <c r="D751" s="91" t="s">
        <v>726</v>
      </c>
      <c r="E751" s="78" t="s">
        <v>733</v>
      </c>
      <c r="F751" s="80" t="s">
        <v>814</v>
      </c>
      <c r="G751" s="94">
        <v>1854966</v>
      </c>
      <c r="H751" s="78" t="s">
        <v>354</v>
      </c>
      <c r="I751" s="78" t="s">
        <v>724</v>
      </c>
      <c r="J751" s="78" t="s">
        <v>725</v>
      </c>
      <c r="K751" s="78" t="s">
        <v>354</v>
      </c>
    </row>
    <row r="752" spans="1:11" s="77" customFormat="1" ht="15" hidden="1" customHeight="1">
      <c r="A752" s="83">
        <v>45902</v>
      </c>
      <c r="B752" s="77" t="s">
        <v>811</v>
      </c>
      <c r="C752" s="77" t="s">
        <v>717</v>
      </c>
      <c r="D752" s="86" t="s">
        <v>726</v>
      </c>
      <c r="E752" s="96" t="s">
        <v>734</v>
      </c>
      <c r="F752" s="89" t="s">
        <v>728</v>
      </c>
      <c r="G752" s="88" t="s">
        <v>815</v>
      </c>
    </row>
    <row r="753" spans="1:11" s="77" customFormat="1" ht="15" hidden="1" customHeight="1">
      <c r="A753" s="83">
        <v>45902</v>
      </c>
      <c r="B753" s="77" t="s">
        <v>811</v>
      </c>
      <c r="C753" s="77" t="s">
        <v>717</v>
      </c>
      <c r="D753" s="86" t="s">
        <v>726</v>
      </c>
      <c r="E753" s="96" t="s">
        <v>735</v>
      </c>
      <c r="F753" s="89" t="s">
        <v>728</v>
      </c>
      <c r="G753" s="88" t="s">
        <v>815</v>
      </c>
    </row>
    <row r="754" spans="1:11" s="77" customFormat="1" ht="15" hidden="1" customHeight="1">
      <c r="A754" s="83">
        <v>45902</v>
      </c>
      <c r="B754" s="77" t="s">
        <v>811</v>
      </c>
      <c r="C754" s="77" t="s">
        <v>717</v>
      </c>
      <c r="D754" s="86" t="s">
        <v>736</v>
      </c>
      <c r="E754" s="96" t="s">
        <v>737</v>
      </c>
      <c r="F754" s="89" t="s">
        <v>728</v>
      </c>
      <c r="G754" s="88" t="s">
        <v>815</v>
      </c>
    </row>
    <row r="755" spans="1:11" s="77" customFormat="1" ht="15" hidden="1" customHeight="1">
      <c r="A755" s="83">
        <v>45902</v>
      </c>
      <c r="B755" s="77" t="s">
        <v>811</v>
      </c>
      <c r="C755" s="77" t="s">
        <v>717</v>
      </c>
      <c r="D755" s="86" t="s">
        <v>736</v>
      </c>
      <c r="E755" s="96" t="s">
        <v>738</v>
      </c>
      <c r="F755" s="89" t="s">
        <v>728</v>
      </c>
      <c r="G755" s="88" t="s">
        <v>815</v>
      </c>
    </row>
    <row r="756" spans="1:11" ht="15" customHeight="1">
      <c r="A756" s="90">
        <v>45902</v>
      </c>
      <c r="B756" s="78" t="s">
        <v>811</v>
      </c>
      <c r="C756" s="78" t="s">
        <v>717</v>
      </c>
      <c r="D756" s="92" t="s">
        <v>739</v>
      </c>
      <c r="E756" s="78" t="s">
        <v>740</v>
      </c>
      <c r="F756" s="80" t="s">
        <v>805</v>
      </c>
      <c r="G756" s="94">
        <v>1854966</v>
      </c>
      <c r="H756" s="78" t="s">
        <v>354</v>
      </c>
      <c r="I756" s="78" t="s">
        <v>724</v>
      </c>
      <c r="J756" s="78" t="s">
        <v>725</v>
      </c>
      <c r="K756" s="78" t="s">
        <v>354</v>
      </c>
    </row>
    <row r="757" spans="1:11" s="77" customFormat="1" ht="15" hidden="1" customHeight="1">
      <c r="A757" s="83">
        <v>45902</v>
      </c>
      <c r="B757" s="77" t="s">
        <v>811</v>
      </c>
      <c r="C757" s="77" t="s">
        <v>717</v>
      </c>
      <c r="D757" s="85" t="s">
        <v>739</v>
      </c>
      <c r="E757" s="96" t="s">
        <v>741</v>
      </c>
      <c r="F757" s="89" t="s">
        <v>728</v>
      </c>
      <c r="G757" s="88" t="s">
        <v>721</v>
      </c>
    </row>
    <row r="758" spans="1:11" s="77" customFormat="1" ht="15" hidden="1" customHeight="1">
      <c r="A758" s="83">
        <v>45902</v>
      </c>
      <c r="B758" s="77" t="s">
        <v>811</v>
      </c>
      <c r="C758" s="77" t="s">
        <v>717</v>
      </c>
      <c r="D758" s="85" t="s">
        <v>739</v>
      </c>
      <c r="E758" s="96" t="s">
        <v>743</v>
      </c>
      <c r="F758" s="89" t="s">
        <v>728</v>
      </c>
      <c r="G758" s="88" t="s">
        <v>721</v>
      </c>
    </row>
    <row r="759" spans="1:11" s="77" customFormat="1" ht="15" hidden="1" customHeight="1">
      <c r="A759" s="83">
        <v>45902</v>
      </c>
      <c r="B759" s="77" t="s">
        <v>811</v>
      </c>
      <c r="C759" s="77" t="s">
        <v>717</v>
      </c>
      <c r="D759" s="85" t="s">
        <v>744</v>
      </c>
      <c r="E759" s="96" t="s">
        <v>745</v>
      </c>
      <c r="F759" s="89" t="s">
        <v>728</v>
      </c>
      <c r="G759" s="88" t="s">
        <v>721</v>
      </c>
    </row>
    <row r="760" spans="1:11" s="77" customFormat="1" ht="15" hidden="1" customHeight="1">
      <c r="A760" s="83">
        <v>45902</v>
      </c>
      <c r="B760" s="77" t="s">
        <v>811</v>
      </c>
      <c r="C760" s="77" t="s">
        <v>717</v>
      </c>
      <c r="D760" s="85" t="s">
        <v>744</v>
      </c>
      <c r="E760" s="96" t="s">
        <v>746</v>
      </c>
      <c r="F760" s="87" t="s">
        <v>801</v>
      </c>
      <c r="G760" s="88" t="s">
        <v>721</v>
      </c>
    </row>
    <row r="761" spans="1:11" ht="15" customHeight="1">
      <c r="A761" s="90">
        <v>45902</v>
      </c>
      <c r="B761" s="78" t="s">
        <v>811</v>
      </c>
      <c r="C761" s="78" t="s">
        <v>717</v>
      </c>
      <c r="D761" s="92" t="s">
        <v>744</v>
      </c>
      <c r="E761" s="78" t="s">
        <v>747</v>
      </c>
      <c r="F761" s="80" t="s">
        <v>816</v>
      </c>
      <c r="G761" s="94">
        <v>1854966</v>
      </c>
      <c r="H761" s="78" t="s">
        <v>354</v>
      </c>
      <c r="I761" s="78" t="s">
        <v>724</v>
      </c>
      <c r="J761" s="78" t="s">
        <v>725</v>
      </c>
      <c r="K761" s="78" t="s">
        <v>354</v>
      </c>
    </row>
    <row r="762" spans="1:11" s="77" customFormat="1" ht="15" hidden="1" customHeight="1">
      <c r="A762" s="83">
        <v>45902</v>
      </c>
      <c r="B762" s="77" t="s">
        <v>811</v>
      </c>
      <c r="C762" s="77" t="s">
        <v>717</v>
      </c>
      <c r="D762" s="85" t="s">
        <v>744</v>
      </c>
      <c r="E762" s="96" t="s">
        <v>748</v>
      </c>
      <c r="F762" s="87" t="s">
        <v>728</v>
      </c>
      <c r="G762" s="88" t="s">
        <v>721</v>
      </c>
    </row>
    <row r="763" spans="1:11" ht="15" customHeight="1">
      <c r="A763" s="90">
        <v>45902</v>
      </c>
      <c r="B763" s="78" t="s">
        <v>811</v>
      </c>
      <c r="C763" s="78" t="s">
        <v>717</v>
      </c>
      <c r="D763" s="92" t="s">
        <v>744</v>
      </c>
      <c r="E763" s="78" t="s">
        <v>749</v>
      </c>
      <c r="F763" s="80" t="s">
        <v>817</v>
      </c>
      <c r="G763" s="94">
        <v>1854966</v>
      </c>
      <c r="H763" s="78" t="s">
        <v>354</v>
      </c>
      <c r="I763" s="78" t="s">
        <v>724</v>
      </c>
      <c r="J763" s="78" t="s">
        <v>725</v>
      </c>
      <c r="K763" s="78" t="s">
        <v>354</v>
      </c>
    </row>
    <row r="764" spans="1:11" s="77" customFormat="1" ht="15" hidden="1" customHeight="1">
      <c r="A764" s="83">
        <v>45902</v>
      </c>
      <c r="B764" s="77" t="s">
        <v>811</v>
      </c>
      <c r="C764" s="77" t="s">
        <v>717</v>
      </c>
      <c r="D764" s="85" t="s">
        <v>750</v>
      </c>
      <c r="E764" s="96" t="s">
        <v>751</v>
      </c>
      <c r="F764" s="98" t="s">
        <v>728</v>
      </c>
      <c r="G764" s="88" t="s">
        <v>721</v>
      </c>
    </row>
    <row r="765" spans="1:11" s="77" customFormat="1" ht="15" hidden="1" customHeight="1">
      <c r="A765" s="83">
        <v>45902</v>
      </c>
      <c r="B765" s="77" t="s">
        <v>811</v>
      </c>
      <c r="C765" s="77" t="s">
        <v>717</v>
      </c>
      <c r="D765" s="85" t="s">
        <v>750</v>
      </c>
      <c r="E765" s="96" t="s">
        <v>752</v>
      </c>
      <c r="F765" s="98" t="s">
        <v>728</v>
      </c>
      <c r="G765" s="88" t="s">
        <v>721</v>
      </c>
    </row>
    <row r="766" spans="1:11" s="77" customFormat="1" ht="15" hidden="1" customHeight="1">
      <c r="A766" s="83">
        <v>45902</v>
      </c>
      <c r="B766" s="77" t="s">
        <v>811</v>
      </c>
      <c r="C766" s="77" t="s">
        <v>717</v>
      </c>
      <c r="D766" s="85" t="s">
        <v>750</v>
      </c>
      <c r="E766" s="96" t="s">
        <v>753</v>
      </c>
      <c r="F766" s="98" t="s">
        <v>728</v>
      </c>
      <c r="G766" s="88" t="s">
        <v>721</v>
      </c>
    </row>
    <row r="767" spans="1:11" s="77" customFormat="1" ht="15" hidden="1" customHeight="1">
      <c r="A767" s="83">
        <v>45902</v>
      </c>
      <c r="B767" s="77" t="s">
        <v>811</v>
      </c>
      <c r="C767" s="77" t="s">
        <v>717</v>
      </c>
      <c r="D767" s="85" t="s">
        <v>750</v>
      </c>
      <c r="E767" s="96" t="s">
        <v>754</v>
      </c>
      <c r="F767" s="98" t="s">
        <v>728</v>
      </c>
      <c r="G767" s="88" t="s">
        <v>721</v>
      </c>
    </row>
    <row r="768" spans="1:11" s="77" customFormat="1" ht="15" hidden="1" customHeight="1">
      <c r="A768" s="83">
        <v>45902</v>
      </c>
      <c r="B768" s="77" t="s">
        <v>811</v>
      </c>
      <c r="C768" s="77" t="s">
        <v>717</v>
      </c>
      <c r="D768" s="85" t="s">
        <v>755</v>
      </c>
      <c r="E768" s="86" t="s">
        <v>756</v>
      </c>
      <c r="F768" s="87" t="s">
        <v>802</v>
      </c>
      <c r="G768" s="88" t="s">
        <v>721</v>
      </c>
    </row>
    <row r="769" spans="1:11" s="77" customFormat="1" ht="15" hidden="1" customHeight="1">
      <c r="A769" s="83">
        <v>45902</v>
      </c>
      <c r="B769" s="77" t="s">
        <v>811</v>
      </c>
      <c r="C769" s="77" t="s">
        <v>717</v>
      </c>
      <c r="D769" s="85" t="s">
        <v>755</v>
      </c>
      <c r="E769" s="96" t="s">
        <v>757</v>
      </c>
      <c r="F769" s="87" t="s">
        <v>802</v>
      </c>
      <c r="G769" s="88" t="s">
        <v>721</v>
      </c>
    </row>
    <row r="770" spans="1:11" s="77" customFormat="1" ht="15" hidden="1" customHeight="1">
      <c r="A770" s="83">
        <v>45902</v>
      </c>
      <c r="B770" s="77" t="s">
        <v>811</v>
      </c>
      <c r="C770" s="77" t="s">
        <v>717</v>
      </c>
      <c r="D770" s="85" t="s">
        <v>758</v>
      </c>
      <c r="E770" s="96" t="s">
        <v>759</v>
      </c>
      <c r="F770" s="98" t="s">
        <v>728</v>
      </c>
      <c r="G770" s="88" t="s">
        <v>721</v>
      </c>
    </row>
    <row r="771" spans="1:11" ht="15" customHeight="1">
      <c r="A771" s="90">
        <v>45902</v>
      </c>
      <c r="B771" s="78" t="s">
        <v>811</v>
      </c>
      <c r="C771" s="78" t="s">
        <v>717</v>
      </c>
      <c r="D771" s="92" t="s">
        <v>758</v>
      </c>
      <c r="E771" s="78" t="s">
        <v>760</v>
      </c>
      <c r="F771" s="80" t="s">
        <v>818</v>
      </c>
      <c r="G771" s="94">
        <v>1854966</v>
      </c>
      <c r="H771" s="78" t="s">
        <v>354</v>
      </c>
      <c r="I771" s="78" t="s">
        <v>724</v>
      </c>
      <c r="J771" s="78" t="s">
        <v>725</v>
      </c>
      <c r="K771" s="78" t="s">
        <v>354</v>
      </c>
    </row>
    <row r="772" spans="1:11" ht="15" customHeight="1">
      <c r="A772" s="90">
        <v>45902</v>
      </c>
      <c r="B772" s="78" t="s">
        <v>811</v>
      </c>
      <c r="C772" s="78" t="s">
        <v>717</v>
      </c>
      <c r="D772" s="92" t="s">
        <v>758</v>
      </c>
      <c r="E772" s="78" t="s">
        <v>761</v>
      </c>
      <c r="F772" s="80" t="s">
        <v>819</v>
      </c>
      <c r="G772" s="94">
        <v>1854966</v>
      </c>
      <c r="H772" s="78" t="s">
        <v>354</v>
      </c>
      <c r="I772" s="78" t="s">
        <v>724</v>
      </c>
      <c r="J772" s="78" t="s">
        <v>725</v>
      </c>
      <c r="K772" s="78" t="s">
        <v>354</v>
      </c>
    </row>
    <row r="773" spans="1:11" ht="15" customHeight="1">
      <c r="A773" s="90">
        <v>45902</v>
      </c>
      <c r="B773" s="78" t="s">
        <v>811</v>
      </c>
      <c r="C773" s="78" t="s">
        <v>717</v>
      </c>
      <c r="D773" s="92" t="s">
        <v>758</v>
      </c>
      <c r="E773" s="78" t="s">
        <v>762</v>
      </c>
      <c r="F773" s="80" t="s">
        <v>820</v>
      </c>
      <c r="G773" s="94">
        <v>1854966</v>
      </c>
      <c r="H773" s="78" t="s">
        <v>354</v>
      </c>
      <c r="I773" s="78" t="s">
        <v>724</v>
      </c>
      <c r="J773" s="78" t="s">
        <v>725</v>
      </c>
      <c r="K773" s="78" t="s">
        <v>354</v>
      </c>
    </row>
    <row r="774" spans="1:11" s="77" customFormat="1" ht="15" hidden="1" customHeight="1">
      <c r="A774" s="83">
        <v>45902</v>
      </c>
      <c r="B774" s="77" t="s">
        <v>811</v>
      </c>
      <c r="C774" s="77" t="s">
        <v>717</v>
      </c>
      <c r="D774" s="85" t="s">
        <v>758</v>
      </c>
      <c r="E774" s="96" t="s">
        <v>763</v>
      </c>
      <c r="F774" s="98" t="s">
        <v>728</v>
      </c>
      <c r="G774" s="88" t="s">
        <v>721</v>
      </c>
    </row>
    <row r="775" spans="1:11" s="77" customFormat="1" ht="15" hidden="1" customHeight="1">
      <c r="A775" s="83">
        <v>45902</v>
      </c>
      <c r="B775" s="77" t="s">
        <v>811</v>
      </c>
      <c r="C775" s="77" t="s">
        <v>717</v>
      </c>
      <c r="D775" s="85" t="s">
        <v>758</v>
      </c>
      <c r="E775" s="96" t="s">
        <v>764</v>
      </c>
      <c r="F775" s="98" t="s">
        <v>728</v>
      </c>
      <c r="G775" s="88" t="s">
        <v>721</v>
      </c>
    </row>
    <row r="776" spans="1:11" s="77" customFormat="1" ht="15" hidden="1" customHeight="1">
      <c r="A776" s="83">
        <v>45902</v>
      </c>
      <c r="B776" s="77" t="s">
        <v>811</v>
      </c>
      <c r="C776" s="77" t="s">
        <v>717</v>
      </c>
      <c r="D776" s="85" t="s">
        <v>718</v>
      </c>
      <c r="E776" s="96" t="s">
        <v>719</v>
      </c>
      <c r="F776" s="98" t="s">
        <v>728</v>
      </c>
      <c r="G776" s="88" t="s">
        <v>721</v>
      </c>
    </row>
    <row r="777" spans="1:11" s="77" customFormat="1" ht="15" hidden="1" customHeight="1">
      <c r="A777" s="83">
        <v>45902</v>
      </c>
      <c r="B777" s="77" t="s">
        <v>811</v>
      </c>
      <c r="C777" s="77" t="s">
        <v>717</v>
      </c>
      <c r="D777" s="85" t="s">
        <v>718</v>
      </c>
      <c r="E777" s="86" t="s">
        <v>765</v>
      </c>
      <c r="F777" s="98" t="s">
        <v>728</v>
      </c>
      <c r="G777" s="88" t="s">
        <v>721</v>
      </c>
    </row>
    <row r="778" spans="1:11" s="77" customFormat="1" ht="15" hidden="1" customHeight="1">
      <c r="A778" s="83">
        <v>45902</v>
      </c>
      <c r="B778" s="77" t="s">
        <v>811</v>
      </c>
      <c r="C778" s="77" t="s">
        <v>717</v>
      </c>
      <c r="D778" s="85" t="s">
        <v>718</v>
      </c>
      <c r="E778" s="86" t="s">
        <v>766</v>
      </c>
      <c r="F778" s="98" t="s">
        <v>728</v>
      </c>
      <c r="G778" s="88" t="s">
        <v>721</v>
      </c>
    </row>
    <row r="779" spans="1:11" s="77" customFormat="1" ht="15" hidden="1" customHeight="1">
      <c r="A779" s="83">
        <v>45902</v>
      </c>
      <c r="B779" s="77" t="s">
        <v>811</v>
      </c>
      <c r="C779" s="77" t="s">
        <v>717</v>
      </c>
      <c r="D779" s="85" t="s">
        <v>718</v>
      </c>
      <c r="E779" s="86" t="s">
        <v>767</v>
      </c>
      <c r="F779" s="98" t="s">
        <v>728</v>
      </c>
      <c r="G779" s="88" t="s">
        <v>721</v>
      </c>
    </row>
    <row r="780" spans="1:11" s="77" customFormat="1" ht="15" hidden="1" customHeight="1">
      <c r="A780" s="83">
        <v>45902</v>
      </c>
      <c r="B780" s="77" t="s">
        <v>811</v>
      </c>
      <c r="C780" s="77" t="s">
        <v>717</v>
      </c>
      <c r="D780" s="85" t="s">
        <v>718</v>
      </c>
      <c r="E780" s="86" t="s">
        <v>768</v>
      </c>
      <c r="F780" s="98" t="s">
        <v>728</v>
      </c>
      <c r="G780" s="88" t="s">
        <v>721</v>
      </c>
    </row>
    <row r="781" spans="1:11" s="77" customFormat="1" ht="15" hidden="1" customHeight="1">
      <c r="A781" s="83">
        <v>45902</v>
      </c>
      <c r="B781" s="77" t="s">
        <v>811</v>
      </c>
      <c r="C781" s="77" t="s">
        <v>717</v>
      </c>
      <c r="D781" s="85" t="s">
        <v>718</v>
      </c>
      <c r="E781" s="86" t="s">
        <v>769</v>
      </c>
      <c r="F781" s="98" t="s">
        <v>728</v>
      </c>
      <c r="G781" s="88" t="s">
        <v>721</v>
      </c>
    </row>
    <row r="782" spans="1:11" s="77" customFormat="1" ht="15" hidden="1" customHeight="1">
      <c r="A782" s="83">
        <v>45902</v>
      </c>
      <c r="B782" s="77" t="s">
        <v>811</v>
      </c>
      <c r="C782" s="77" t="s">
        <v>717</v>
      </c>
      <c r="D782" s="85" t="s">
        <v>718</v>
      </c>
      <c r="E782" s="86" t="s">
        <v>770</v>
      </c>
      <c r="F782" s="98" t="s">
        <v>728</v>
      </c>
      <c r="G782" s="88" t="s">
        <v>721</v>
      </c>
    </row>
    <row r="783" spans="1:11" s="77" customFormat="1" ht="15" hidden="1" customHeight="1">
      <c r="A783" s="83">
        <v>45902</v>
      </c>
      <c r="B783" s="77" t="s">
        <v>811</v>
      </c>
      <c r="C783" s="77" t="s">
        <v>717</v>
      </c>
      <c r="D783" s="85" t="s">
        <v>718</v>
      </c>
      <c r="E783" s="86" t="s">
        <v>771</v>
      </c>
      <c r="F783" s="98" t="s">
        <v>728</v>
      </c>
      <c r="G783" s="88" t="s">
        <v>721</v>
      </c>
    </row>
    <row r="784" spans="1:11" s="77" customFormat="1" ht="15" hidden="1" customHeight="1">
      <c r="A784" s="83">
        <v>45902</v>
      </c>
      <c r="B784" s="77" t="s">
        <v>811</v>
      </c>
      <c r="C784" s="77" t="s">
        <v>717</v>
      </c>
      <c r="D784" s="85" t="s">
        <v>718</v>
      </c>
      <c r="E784" s="86" t="s">
        <v>772</v>
      </c>
      <c r="F784" s="98" t="s">
        <v>728</v>
      </c>
      <c r="G784" s="88" t="s">
        <v>721</v>
      </c>
    </row>
    <row r="785" spans="1:11" s="77" customFormat="1" ht="15" hidden="1" customHeight="1">
      <c r="A785" s="83">
        <v>45902</v>
      </c>
      <c r="B785" s="77" t="s">
        <v>811</v>
      </c>
      <c r="C785" s="77" t="s">
        <v>717</v>
      </c>
      <c r="D785" s="85" t="s">
        <v>718</v>
      </c>
      <c r="E785" s="96" t="s">
        <v>803</v>
      </c>
      <c r="F785" s="98" t="s">
        <v>728</v>
      </c>
      <c r="G785" s="88" t="s">
        <v>721</v>
      </c>
    </row>
    <row r="786" spans="1:11" ht="15" customHeight="1">
      <c r="A786" s="90">
        <v>45902</v>
      </c>
      <c r="B786" s="101" t="s">
        <v>394</v>
      </c>
      <c r="C786" s="78" t="s">
        <v>717</v>
      </c>
      <c r="D786" s="91" t="s">
        <v>726</v>
      </c>
      <c r="E786" s="100" t="s">
        <v>727</v>
      </c>
      <c r="F786" s="80" t="s">
        <v>821</v>
      </c>
      <c r="G786" s="94">
        <v>1851105</v>
      </c>
      <c r="H786" s="78" t="s">
        <v>354</v>
      </c>
      <c r="I786" s="78" t="s">
        <v>724</v>
      </c>
      <c r="J786" s="78" t="s">
        <v>822</v>
      </c>
      <c r="K786" s="78" t="s">
        <v>354</v>
      </c>
    </row>
    <row r="787" spans="1:11" ht="15" customHeight="1">
      <c r="A787" s="90">
        <v>45902</v>
      </c>
      <c r="B787" s="101" t="s">
        <v>394</v>
      </c>
      <c r="C787" s="78" t="s">
        <v>717</v>
      </c>
      <c r="D787" s="91" t="s">
        <v>726</v>
      </c>
      <c r="E787" s="78" t="s">
        <v>729</v>
      </c>
      <c r="F787" s="80" t="s">
        <v>823</v>
      </c>
      <c r="G787" s="94">
        <v>1851105</v>
      </c>
      <c r="H787" s="78" t="s">
        <v>354</v>
      </c>
      <c r="I787" s="78" t="s">
        <v>724</v>
      </c>
      <c r="J787" s="78" t="s">
        <v>822</v>
      </c>
      <c r="K787" s="78" t="s">
        <v>354</v>
      </c>
    </row>
    <row r="788" spans="1:11" s="77" customFormat="1" ht="15" hidden="1" customHeight="1">
      <c r="A788" s="83">
        <v>45902</v>
      </c>
      <c r="B788" s="102" t="s">
        <v>394</v>
      </c>
      <c r="C788" s="77" t="s">
        <v>717</v>
      </c>
      <c r="D788" s="86" t="s">
        <v>726</v>
      </c>
      <c r="E788" s="96" t="s">
        <v>730</v>
      </c>
      <c r="F788" s="98" t="s">
        <v>728</v>
      </c>
      <c r="G788" s="88" t="s">
        <v>721</v>
      </c>
    </row>
    <row r="789" spans="1:11" s="77" customFormat="1" ht="15" hidden="1" customHeight="1">
      <c r="A789" s="83">
        <v>45902</v>
      </c>
      <c r="B789" s="102" t="s">
        <v>394</v>
      </c>
      <c r="C789" s="77" t="s">
        <v>717</v>
      </c>
      <c r="D789" s="86" t="s">
        <v>726</v>
      </c>
      <c r="E789" s="96" t="s">
        <v>731</v>
      </c>
      <c r="F789" s="98" t="s">
        <v>728</v>
      </c>
      <c r="G789" s="88" t="s">
        <v>721</v>
      </c>
    </row>
    <row r="790" spans="1:11" s="77" customFormat="1" ht="15" hidden="1" customHeight="1">
      <c r="A790" s="83">
        <v>45902</v>
      </c>
      <c r="B790" s="102" t="s">
        <v>394</v>
      </c>
      <c r="C790" s="77" t="s">
        <v>717</v>
      </c>
      <c r="D790" s="86" t="s">
        <v>726</v>
      </c>
      <c r="E790" s="96" t="s">
        <v>732</v>
      </c>
      <c r="F790" s="98" t="s">
        <v>728</v>
      </c>
      <c r="G790" s="88" t="s">
        <v>721</v>
      </c>
    </row>
    <row r="791" spans="1:11" s="77" customFormat="1" ht="15" hidden="1" customHeight="1">
      <c r="A791" s="83">
        <v>45902</v>
      </c>
      <c r="B791" s="102" t="s">
        <v>394</v>
      </c>
      <c r="C791" s="77" t="s">
        <v>717</v>
      </c>
      <c r="D791" s="86" t="s">
        <v>726</v>
      </c>
      <c r="E791" s="96" t="s">
        <v>733</v>
      </c>
      <c r="F791" s="98" t="s">
        <v>728</v>
      </c>
      <c r="G791" s="88" t="s">
        <v>721</v>
      </c>
    </row>
    <row r="792" spans="1:11" ht="15" customHeight="1">
      <c r="A792" s="90">
        <v>45902</v>
      </c>
      <c r="B792" s="101" t="s">
        <v>394</v>
      </c>
      <c r="C792" s="78" t="s">
        <v>717</v>
      </c>
      <c r="D792" s="91" t="s">
        <v>726</v>
      </c>
      <c r="E792" s="78" t="s">
        <v>734</v>
      </c>
      <c r="F792" s="80" t="s">
        <v>824</v>
      </c>
      <c r="G792" s="94">
        <v>1851105</v>
      </c>
      <c r="H792" s="78" t="s">
        <v>354</v>
      </c>
      <c r="I792" s="78" t="s">
        <v>724</v>
      </c>
      <c r="J792" s="78" t="s">
        <v>822</v>
      </c>
      <c r="K792" s="78" t="s">
        <v>354</v>
      </c>
    </row>
    <row r="793" spans="1:11" s="77" customFormat="1" ht="15" hidden="1" customHeight="1">
      <c r="A793" s="83">
        <v>45902</v>
      </c>
      <c r="B793" s="102" t="s">
        <v>394</v>
      </c>
      <c r="C793" s="77" t="s">
        <v>717</v>
      </c>
      <c r="D793" s="86" t="s">
        <v>726</v>
      </c>
      <c r="E793" s="96" t="s">
        <v>735</v>
      </c>
      <c r="F793" s="98" t="s">
        <v>728</v>
      </c>
      <c r="G793" s="88" t="s">
        <v>721</v>
      </c>
    </row>
    <row r="794" spans="1:11" ht="15" customHeight="1">
      <c r="A794" s="90">
        <v>45902</v>
      </c>
      <c r="B794" s="101" t="s">
        <v>394</v>
      </c>
      <c r="C794" s="78" t="s">
        <v>717</v>
      </c>
      <c r="D794" s="91" t="s">
        <v>736</v>
      </c>
      <c r="E794" s="78" t="s">
        <v>737</v>
      </c>
      <c r="F794" s="80" t="s">
        <v>825</v>
      </c>
      <c r="G794" s="94">
        <v>1851105</v>
      </c>
      <c r="H794" s="78" t="s">
        <v>354</v>
      </c>
      <c r="I794" s="78" t="s">
        <v>724</v>
      </c>
      <c r="J794" s="78" t="s">
        <v>822</v>
      </c>
      <c r="K794" s="78" t="s">
        <v>354</v>
      </c>
    </row>
    <row r="795" spans="1:11" s="77" customFormat="1" ht="15" hidden="1" customHeight="1">
      <c r="A795" s="83">
        <v>45902</v>
      </c>
      <c r="B795" s="102" t="s">
        <v>394</v>
      </c>
      <c r="C795" s="77" t="s">
        <v>717</v>
      </c>
      <c r="D795" s="86" t="s">
        <v>736</v>
      </c>
      <c r="E795" s="96" t="s">
        <v>738</v>
      </c>
      <c r="F795" s="98" t="s">
        <v>728</v>
      </c>
      <c r="G795" s="88" t="s">
        <v>721</v>
      </c>
    </row>
    <row r="796" spans="1:11" ht="15" customHeight="1">
      <c r="A796" s="90">
        <v>45902</v>
      </c>
      <c r="B796" s="101" t="s">
        <v>394</v>
      </c>
      <c r="C796" s="78" t="s">
        <v>717</v>
      </c>
      <c r="D796" s="92" t="s">
        <v>739</v>
      </c>
      <c r="E796" s="78" t="s">
        <v>740</v>
      </c>
      <c r="F796" s="80" t="s">
        <v>826</v>
      </c>
      <c r="G796" s="94">
        <v>1851105</v>
      </c>
      <c r="H796" s="78" t="s">
        <v>354</v>
      </c>
      <c r="I796" s="78" t="s">
        <v>724</v>
      </c>
      <c r="J796" s="78" t="s">
        <v>822</v>
      </c>
      <c r="K796" s="78" t="s">
        <v>354</v>
      </c>
    </row>
    <row r="797" spans="1:11" s="77" customFormat="1" ht="15" hidden="1" customHeight="1">
      <c r="A797" s="83">
        <v>45902</v>
      </c>
      <c r="B797" s="102" t="s">
        <v>394</v>
      </c>
      <c r="C797" s="77" t="s">
        <v>717</v>
      </c>
      <c r="D797" s="85" t="s">
        <v>739</v>
      </c>
      <c r="E797" s="96" t="s">
        <v>741</v>
      </c>
      <c r="F797" s="98" t="s">
        <v>728</v>
      </c>
      <c r="G797" s="88" t="s">
        <v>721</v>
      </c>
    </row>
    <row r="798" spans="1:11" s="77" customFormat="1" ht="15" hidden="1" customHeight="1">
      <c r="A798" s="83">
        <v>45902</v>
      </c>
      <c r="B798" s="102" t="s">
        <v>394</v>
      </c>
      <c r="C798" s="77" t="s">
        <v>717</v>
      </c>
      <c r="D798" s="85" t="s">
        <v>739</v>
      </c>
      <c r="E798" s="96" t="s">
        <v>743</v>
      </c>
      <c r="F798" s="98" t="s">
        <v>728</v>
      </c>
      <c r="G798" s="88" t="s">
        <v>721</v>
      </c>
    </row>
    <row r="799" spans="1:11" ht="15" customHeight="1">
      <c r="A799" s="90">
        <v>45902</v>
      </c>
      <c r="B799" s="101" t="s">
        <v>394</v>
      </c>
      <c r="C799" s="78" t="s">
        <v>717</v>
      </c>
      <c r="D799" s="92" t="s">
        <v>744</v>
      </c>
      <c r="E799" s="78" t="s">
        <v>745</v>
      </c>
      <c r="F799" s="80" t="s">
        <v>827</v>
      </c>
      <c r="G799" s="94">
        <v>1851105</v>
      </c>
      <c r="H799" s="78" t="s">
        <v>354</v>
      </c>
      <c r="I799" s="78" t="s">
        <v>724</v>
      </c>
      <c r="J799" s="78" t="s">
        <v>822</v>
      </c>
      <c r="K799" s="78" t="s">
        <v>354</v>
      </c>
    </row>
    <row r="800" spans="1:11" s="77" customFormat="1" ht="15" hidden="1" customHeight="1">
      <c r="A800" s="83">
        <v>45902</v>
      </c>
      <c r="B800" s="102" t="s">
        <v>394</v>
      </c>
      <c r="C800" s="77" t="s">
        <v>717</v>
      </c>
      <c r="D800" s="85" t="s">
        <v>744</v>
      </c>
      <c r="E800" s="96" t="s">
        <v>746</v>
      </c>
      <c r="F800" s="98" t="s">
        <v>728</v>
      </c>
      <c r="G800" s="88" t="s">
        <v>721</v>
      </c>
    </row>
    <row r="801" spans="1:11" s="77" customFormat="1" ht="15" hidden="1" customHeight="1">
      <c r="A801" s="83">
        <v>45902</v>
      </c>
      <c r="B801" s="102" t="s">
        <v>394</v>
      </c>
      <c r="C801" s="77" t="s">
        <v>717</v>
      </c>
      <c r="D801" s="85" t="s">
        <v>744</v>
      </c>
      <c r="E801" s="96" t="s">
        <v>747</v>
      </c>
      <c r="F801" s="98" t="s">
        <v>801</v>
      </c>
      <c r="G801" s="88" t="s">
        <v>721</v>
      </c>
    </row>
    <row r="802" spans="1:11" s="77" customFormat="1" ht="15" hidden="1" customHeight="1">
      <c r="A802" s="83">
        <v>45902</v>
      </c>
      <c r="B802" s="102" t="s">
        <v>394</v>
      </c>
      <c r="C802" s="77" t="s">
        <v>717</v>
      </c>
      <c r="D802" s="85" t="s">
        <v>744</v>
      </c>
      <c r="E802" s="96" t="s">
        <v>748</v>
      </c>
      <c r="F802" s="98" t="s">
        <v>801</v>
      </c>
      <c r="G802" s="88" t="s">
        <v>721</v>
      </c>
    </row>
    <row r="803" spans="1:11" s="77" customFormat="1" ht="15" hidden="1" customHeight="1">
      <c r="A803" s="83">
        <v>45902</v>
      </c>
      <c r="B803" s="102" t="s">
        <v>394</v>
      </c>
      <c r="C803" s="77" t="s">
        <v>717</v>
      </c>
      <c r="D803" s="85" t="s">
        <v>744</v>
      </c>
      <c r="E803" s="96" t="s">
        <v>749</v>
      </c>
      <c r="F803" s="98" t="s">
        <v>801</v>
      </c>
      <c r="G803" s="88" t="s">
        <v>721</v>
      </c>
    </row>
    <row r="804" spans="1:11" s="77" customFormat="1" ht="15" hidden="1" customHeight="1">
      <c r="A804" s="83">
        <v>45902</v>
      </c>
      <c r="B804" s="102" t="s">
        <v>394</v>
      </c>
      <c r="C804" s="77" t="s">
        <v>717</v>
      </c>
      <c r="D804" s="85" t="s">
        <v>750</v>
      </c>
      <c r="E804" s="96" t="s">
        <v>751</v>
      </c>
      <c r="F804" s="98" t="s">
        <v>728</v>
      </c>
      <c r="G804" s="88" t="s">
        <v>721</v>
      </c>
    </row>
    <row r="805" spans="1:11" s="77" customFormat="1" ht="15" hidden="1" customHeight="1">
      <c r="A805" s="83">
        <v>45902</v>
      </c>
      <c r="B805" s="102" t="s">
        <v>394</v>
      </c>
      <c r="C805" s="77" t="s">
        <v>717</v>
      </c>
      <c r="D805" s="85" t="s">
        <v>750</v>
      </c>
      <c r="E805" s="96" t="s">
        <v>752</v>
      </c>
      <c r="F805" s="98" t="s">
        <v>728</v>
      </c>
      <c r="G805" s="88" t="s">
        <v>721</v>
      </c>
    </row>
    <row r="806" spans="1:11" ht="15" customHeight="1">
      <c r="A806" s="90">
        <v>45902</v>
      </c>
      <c r="B806" s="101" t="s">
        <v>394</v>
      </c>
      <c r="C806" s="78" t="s">
        <v>717</v>
      </c>
      <c r="D806" s="92" t="s">
        <v>750</v>
      </c>
      <c r="E806" s="78" t="s">
        <v>753</v>
      </c>
      <c r="F806" s="80" t="s">
        <v>826</v>
      </c>
      <c r="G806" s="94">
        <v>1851105</v>
      </c>
      <c r="H806" s="78" t="s">
        <v>354</v>
      </c>
      <c r="I806" s="78" t="s">
        <v>774</v>
      </c>
      <c r="J806" s="78" t="s">
        <v>822</v>
      </c>
      <c r="K806" s="78" t="s">
        <v>354</v>
      </c>
    </row>
    <row r="807" spans="1:11" ht="15" customHeight="1">
      <c r="A807" s="90">
        <v>45902</v>
      </c>
      <c r="B807" s="101" t="s">
        <v>394</v>
      </c>
      <c r="C807" s="78" t="s">
        <v>717</v>
      </c>
      <c r="D807" s="92" t="s">
        <v>750</v>
      </c>
      <c r="E807" s="78" t="s">
        <v>754</v>
      </c>
      <c r="F807" s="80" t="s">
        <v>828</v>
      </c>
      <c r="G807" s="94">
        <v>1851105</v>
      </c>
      <c r="H807" s="78" t="s">
        <v>354</v>
      </c>
      <c r="I807" s="78" t="s">
        <v>724</v>
      </c>
      <c r="J807" s="78" t="s">
        <v>822</v>
      </c>
      <c r="K807" s="78" t="s">
        <v>354</v>
      </c>
    </row>
    <row r="808" spans="1:11" s="77" customFormat="1" ht="15" hidden="1" customHeight="1">
      <c r="A808" s="83">
        <v>45902</v>
      </c>
      <c r="B808" s="102" t="s">
        <v>394</v>
      </c>
      <c r="C808" s="77" t="s">
        <v>717</v>
      </c>
      <c r="D808" s="85" t="s">
        <v>755</v>
      </c>
      <c r="E808" s="86" t="s">
        <v>756</v>
      </c>
      <c r="F808" s="87" t="s">
        <v>802</v>
      </c>
      <c r="G808" s="88" t="s">
        <v>721</v>
      </c>
    </row>
    <row r="809" spans="1:11" s="77" customFormat="1" ht="15" hidden="1" customHeight="1">
      <c r="A809" s="83">
        <v>45902</v>
      </c>
      <c r="B809" s="102" t="s">
        <v>394</v>
      </c>
      <c r="C809" s="77" t="s">
        <v>717</v>
      </c>
      <c r="D809" s="85" t="s">
        <v>755</v>
      </c>
      <c r="E809" s="96" t="s">
        <v>757</v>
      </c>
      <c r="F809" s="87" t="s">
        <v>802</v>
      </c>
      <c r="G809" s="88" t="s">
        <v>721</v>
      </c>
    </row>
    <row r="810" spans="1:11" ht="15" customHeight="1">
      <c r="A810" s="90">
        <v>45902</v>
      </c>
      <c r="B810" s="101" t="s">
        <v>394</v>
      </c>
      <c r="C810" s="78" t="s">
        <v>717</v>
      </c>
      <c r="D810" s="92" t="s">
        <v>758</v>
      </c>
      <c r="E810" s="78" t="s">
        <v>759</v>
      </c>
      <c r="F810" s="80" t="s">
        <v>829</v>
      </c>
      <c r="G810" s="94">
        <v>1851105</v>
      </c>
      <c r="H810" s="78" t="s">
        <v>354</v>
      </c>
      <c r="I810" s="78" t="s">
        <v>724</v>
      </c>
      <c r="J810" s="78" t="s">
        <v>822</v>
      </c>
      <c r="K810" s="78" t="s">
        <v>354</v>
      </c>
    </row>
    <row r="811" spans="1:11" ht="15" customHeight="1">
      <c r="A811" s="90">
        <v>45902</v>
      </c>
      <c r="B811" s="101" t="s">
        <v>394</v>
      </c>
      <c r="C811" s="78" t="s">
        <v>717</v>
      </c>
      <c r="D811" s="92" t="s">
        <v>758</v>
      </c>
      <c r="E811" s="78" t="s">
        <v>760</v>
      </c>
      <c r="F811" s="80" t="s">
        <v>829</v>
      </c>
      <c r="G811" s="94">
        <v>1851105</v>
      </c>
      <c r="H811" s="78" t="s">
        <v>354</v>
      </c>
      <c r="I811" s="78" t="s">
        <v>724</v>
      </c>
      <c r="J811" s="78" t="s">
        <v>822</v>
      </c>
      <c r="K811" s="78" t="s">
        <v>354</v>
      </c>
    </row>
    <row r="812" spans="1:11" ht="15" customHeight="1">
      <c r="A812" s="90">
        <v>45902</v>
      </c>
      <c r="B812" s="101" t="s">
        <v>394</v>
      </c>
      <c r="C812" s="78" t="s">
        <v>717</v>
      </c>
      <c r="D812" s="92" t="s">
        <v>758</v>
      </c>
      <c r="E812" s="78" t="s">
        <v>761</v>
      </c>
      <c r="F812" s="80" t="s">
        <v>829</v>
      </c>
      <c r="G812" s="94">
        <v>1851105</v>
      </c>
      <c r="H812" s="78" t="s">
        <v>354</v>
      </c>
      <c r="I812" s="78" t="s">
        <v>724</v>
      </c>
      <c r="J812" s="78" t="s">
        <v>822</v>
      </c>
      <c r="K812" s="78" t="s">
        <v>354</v>
      </c>
    </row>
    <row r="813" spans="1:11" ht="15" customHeight="1">
      <c r="A813" s="90">
        <v>45902</v>
      </c>
      <c r="B813" s="101" t="s">
        <v>394</v>
      </c>
      <c r="C813" s="78" t="s">
        <v>717</v>
      </c>
      <c r="D813" s="92" t="s">
        <v>758</v>
      </c>
      <c r="E813" s="78" t="s">
        <v>762</v>
      </c>
      <c r="F813" s="80" t="s">
        <v>829</v>
      </c>
      <c r="G813" s="94">
        <v>1851105</v>
      </c>
      <c r="H813" s="78" t="s">
        <v>354</v>
      </c>
      <c r="I813" s="78" t="s">
        <v>724</v>
      </c>
      <c r="J813" s="78" t="s">
        <v>822</v>
      </c>
      <c r="K813" s="78" t="s">
        <v>354</v>
      </c>
    </row>
    <row r="814" spans="1:11" ht="15" customHeight="1">
      <c r="A814" s="90">
        <v>45902</v>
      </c>
      <c r="B814" s="101" t="s">
        <v>394</v>
      </c>
      <c r="C814" s="78" t="s">
        <v>717</v>
      </c>
      <c r="D814" s="92" t="s">
        <v>758</v>
      </c>
      <c r="E814" s="78" t="s">
        <v>763</v>
      </c>
      <c r="F814" s="80" t="s">
        <v>829</v>
      </c>
      <c r="G814" s="94">
        <v>1851105</v>
      </c>
      <c r="H814" s="78" t="s">
        <v>354</v>
      </c>
      <c r="I814" s="78" t="s">
        <v>724</v>
      </c>
      <c r="J814" s="78" t="s">
        <v>822</v>
      </c>
      <c r="K814" s="78" t="s">
        <v>354</v>
      </c>
    </row>
    <row r="815" spans="1:11" ht="15" customHeight="1">
      <c r="A815" s="90">
        <v>45902</v>
      </c>
      <c r="B815" s="101" t="s">
        <v>394</v>
      </c>
      <c r="C815" s="78" t="s">
        <v>717</v>
      </c>
      <c r="D815" s="92" t="s">
        <v>758</v>
      </c>
      <c r="E815" s="78" t="s">
        <v>764</v>
      </c>
      <c r="F815" s="80" t="s">
        <v>829</v>
      </c>
      <c r="G815" s="94">
        <v>1851105</v>
      </c>
      <c r="H815" s="78" t="s">
        <v>354</v>
      </c>
      <c r="I815" s="78" t="s">
        <v>724</v>
      </c>
      <c r="J815" s="78" t="s">
        <v>822</v>
      </c>
      <c r="K815" s="78" t="s">
        <v>354</v>
      </c>
    </row>
    <row r="816" spans="1:11" s="77" customFormat="1" ht="15" hidden="1" customHeight="1">
      <c r="A816" s="83">
        <v>45902</v>
      </c>
      <c r="B816" s="102" t="s">
        <v>394</v>
      </c>
      <c r="C816" s="77" t="s">
        <v>717</v>
      </c>
      <c r="D816" s="85" t="s">
        <v>718</v>
      </c>
      <c r="E816" s="96" t="s">
        <v>719</v>
      </c>
      <c r="F816" s="98" t="s">
        <v>728</v>
      </c>
      <c r="G816" s="88" t="s">
        <v>721</v>
      </c>
    </row>
    <row r="817" spans="1:11" s="77" customFormat="1" ht="15" hidden="1" customHeight="1">
      <c r="A817" s="83">
        <v>45902</v>
      </c>
      <c r="B817" s="102" t="s">
        <v>394</v>
      </c>
      <c r="C817" s="77" t="s">
        <v>717</v>
      </c>
      <c r="D817" s="85" t="s">
        <v>718</v>
      </c>
      <c r="E817" s="86" t="s">
        <v>765</v>
      </c>
      <c r="F817" s="98" t="s">
        <v>728</v>
      </c>
      <c r="G817" s="88" t="s">
        <v>721</v>
      </c>
    </row>
    <row r="818" spans="1:11" s="77" customFormat="1" ht="15" hidden="1" customHeight="1">
      <c r="A818" s="83">
        <v>45902</v>
      </c>
      <c r="B818" s="102" t="s">
        <v>394</v>
      </c>
      <c r="C818" s="77" t="s">
        <v>717</v>
      </c>
      <c r="D818" s="85" t="s">
        <v>718</v>
      </c>
      <c r="E818" s="86" t="s">
        <v>766</v>
      </c>
      <c r="F818" s="98" t="s">
        <v>728</v>
      </c>
      <c r="G818" s="88" t="s">
        <v>721</v>
      </c>
    </row>
    <row r="819" spans="1:11" s="77" customFormat="1" ht="15" hidden="1" customHeight="1">
      <c r="A819" s="83">
        <v>45902</v>
      </c>
      <c r="B819" s="102" t="s">
        <v>394</v>
      </c>
      <c r="C819" s="77" t="s">
        <v>717</v>
      </c>
      <c r="D819" s="85" t="s">
        <v>718</v>
      </c>
      <c r="E819" s="86" t="s">
        <v>767</v>
      </c>
      <c r="F819" s="98" t="s">
        <v>728</v>
      </c>
      <c r="G819" s="88" t="s">
        <v>721</v>
      </c>
    </row>
    <row r="820" spans="1:11" s="77" customFormat="1" ht="15" hidden="1" customHeight="1">
      <c r="A820" s="83">
        <v>45902</v>
      </c>
      <c r="B820" s="102" t="s">
        <v>394</v>
      </c>
      <c r="C820" s="77" t="s">
        <v>717</v>
      </c>
      <c r="D820" s="85" t="s">
        <v>718</v>
      </c>
      <c r="E820" s="86" t="s">
        <v>768</v>
      </c>
      <c r="F820" s="98" t="s">
        <v>728</v>
      </c>
      <c r="G820" s="88" t="s">
        <v>721</v>
      </c>
    </row>
    <row r="821" spans="1:11" s="77" customFormat="1" ht="15" hidden="1" customHeight="1">
      <c r="A821" s="83">
        <v>45902</v>
      </c>
      <c r="B821" s="102" t="s">
        <v>394</v>
      </c>
      <c r="C821" s="77" t="s">
        <v>717</v>
      </c>
      <c r="D821" s="85" t="s">
        <v>718</v>
      </c>
      <c r="E821" s="86" t="s">
        <v>769</v>
      </c>
      <c r="F821" s="98" t="s">
        <v>728</v>
      </c>
      <c r="G821" s="88" t="s">
        <v>721</v>
      </c>
    </row>
    <row r="822" spans="1:11" s="77" customFormat="1" ht="15" hidden="1" customHeight="1">
      <c r="A822" s="83">
        <v>45902</v>
      </c>
      <c r="B822" s="102" t="s">
        <v>394</v>
      </c>
      <c r="C822" s="77" t="s">
        <v>717</v>
      </c>
      <c r="D822" s="85" t="s">
        <v>718</v>
      </c>
      <c r="E822" s="86" t="s">
        <v>770</v>
      </c>
      <c r="F822" s="98" t="s">
        <v>728</v>
      </c>
      <c r="G822" s="88" t="s">
        <v>721</v>
      </c>
    </row>
    <row r="823" spans="1:11" ht="15" customHeight="1">
      <c r="A823" s="90">
        <v>45902</v>
      </c>
      <c r="B823" s="101" t="s">
        <v>394</v>
      </c>
      <c r="C823" s="78" t="s">
        <v>717</v>
      </c>
      <c r="D823" s="92" t="s">
        <v>718</v>
      </c>
      <c r="E823" s="91" t="s">
        <v>771</v>
      </c>
      <c r="F823" s="80" t="s">
        <v>830</v>
      </c>
      <c r="G823" s="94">
        <v>1851105</v>
      </c>
      <c r="H823" s="78" t="s">
        <v>354</v>
      </c>
      <c r="I823" s="78" t="s">
        <v>724</v>
      </c>
      <c r="J823" s="78" t="s">
        <v>822</v>
      </c>
      <c r="K823" s="78" t="s">
        <v>354</v>
      </c>
    </row>
    <row r="824" spans="1:11" ht="15" customHeight="1">
      <c r="A824" s="90">
        <v>45902</v>
      </c>
      <c r="B824" s="101" t="s">
        <v>394</v>
      </c>
      <c r="C824" s="78" t="s">
        <v>717</v>
      </c>
      <c r="D824" s="92" t="s">
        <v>718</v>
      </c>
      <c r="E824" s="91" t="s">
        <v>772</v>
      </c>
      <c r="F824" s="80" t="s">
        <v>831</v>
      </c>
      <c r="G824" s="94">
        <v>1851105</v>
      </c>
      <c r="H824" s="78" t="s">
        <v>354</v>
      </c>
      <c r="I824" s="78" t="s">
        <v>724</v>
      </c>
      <c r="J824" s="78" t="s">
        <v>822</v>
      </c>
      <c r="K824" s="78" t="s">
        <v>354</v>
      </c>
    </row>
    <row r="825" spans="1:11" s="77" customFormat="1" ht="15" hidden="1" customHeight="1">
      <c r="A825" s="83">
        <v>45902</v>
      </c>
      <c r="B825" s="102" t="s">
        <v>394</v>
      </c>
      <c r="C825" s="77" t="s">
        <v>717</v>
      </c>
      <c r="D825" s="85" t="s">
        <v>718</v>
      </c>
      <c r="E825" s="96" t="s">
        <v>803</v>
      </c>
      <c r="F825" s="98" t="s">
        <v>728</v>
      </c>
      <c r="G825" s="88" t="s">
        <v>721</v>
      </c>
    </row>
    <row r="826" spans="1:11" s="77" customFormat="1" ht="15" hidden="1" customHeight="1">
      <c r="A826" s="83">
        <v>45902</v>
      </c>
      <c r="B826" s="102" t="s">
        <v>331</v>
      </c>
      <c r="C826" s="77" t="s">
        <v>717</v>
      </c>
      <c r="D826" s="86" t="s">
        <v>726</v>
      </c>
      <c r="E826" s="95" t="s">
        <v>727</v>
      </c>
      <c r="F826" s="98" t="s">
        <v>728</v>
      </c>
      <c r="G826" s="88" t="s">
        <v>721</v>
      </c>
    </row>
    <row r="827" spans="1:11" s="77" customFormat="1" ht="15" hidden="1" customHeight="1">
      <c r="A827" s="83">
        <v>45902</v>
      </c>
      <c r="B827" s="102" t="s">
        <v>331</v>
      </c>
      <c r="C827" s="77" t="s">
        <v>717</v>
      </c>
      <c r="D827" s="86" t="s">
        <v>726</v>
      </c>
      <c r="E827" s="96" t="s">
        <v>729</v>
      </c>
      <c r="F827" s="98" t="s">
        <v>728</v>
      </c>
      <c r="G827" s="88" t="s">
        <v>721</v>
      </c>
    </row>
    <row r="828" spans="1:11" s="77" customFormat="1" ht="15" hidden="1" customHeight="1">
      <c r="A828" s="83">
        <v>45902</v>
      </c>
      <c r="B828" s="102" t="s">
        <v>331</v>
      </c>
      <c r="C828" s="77" t="s">
        <v>717</v>
      </c>
      <c r="D828" s="86" t="s">
        <v>726</v>
      </c>
      <c r="E828" s="96" t="s">
        <v>730</v>
      </c>
      <c r="F828" s="98" t="s">
        <v>728</v>
      </c>
      <c r="G828" s="88" t="s">
        <v>721</v>
      </c>
    </row>
    <row r="829" spans="1:11" s="77" customFormat="1" ht="15" hidden="1" customHeight="1">
      <c r="A829" s="83">
        <v>45902</v>
      </c>
      <c r="B829" s="102" t="s">
        <v>331</v>
      </c>
      <c r="C829" s="77" t="s">
        <v>717</v>
      </c>
      <c r="D829" s="86" t="s">
        <v>726</v>
      </c>
      <c r="E829" s="96" t="s">
        <v>731</v>
      </c>
      <c r="F829" s="98" t="s">
        <v>728</v>
      </c>
      <c r="G829" s="88" t="s">
        <v>721</v>
      </c>
    </row>
    <row r="830" spans="1:11" s="77" customFormat="1" ht="15" hidden="1" customHeight="1">
      <c r="A830" s="83">
        <v>45902</v>
      </c>
      <c r="B830" s="102" t="s">
        <v>331</v>
      </c>
      <c r="C830" s="77" t="s">
        <v>717</v>
      </c>
      <c r="D830" s="86" t="s">
        <v>726</v>
      </c>
      <c r="E830" s="96" t="s">
        <v>732</v>
      </c>
      <c r="F830" s="98" t="s">
        <v>728</v>
      </c>
      <c r="G830" s="88" t="s">
        <v>721</v>
      </c>
    </row>
    <row r="831" spans="1:11" s="77" customFormat="1" ht="15" hidden="1" customHeight="1">
      <c r="A831" s="83">
        <v>45902</v>
      </c>
      <c r="B831" s="102" t="s">
        <v>331</v>
      </c>
      <c r="C831" s="77" t="s">
        <v>717</v>
      </c>
      <c r="D831" s="86" t="s">
        <v>726</v>
      </c>
      <c r="E831" s="96" t="s">
        <v>733</v>
      </c>
      <c r="F831" s="98" t="s">
        <v>728</v>
      </c>
      <c r="G831" s="88" t="s">
        <v>721</v>
      </c>
    </row>
    <row r="832" spans="1:11" ht="15" customHeight="1">
      <c r="A832" s="90">
        <v>45902</v>
      </c>
      <c r="B832" s="101" t="s">
        <v>331</v>
      </c>
      <c r="C832" s="78" t="s">
        <v>717</v>
      </c>
      <c r="D832" s="91" t="s">
        <v>726</v>
      </c>
      <c r="E832" s="78" t="s">
        <v>734</v>
      </c>
      <c r="F832" s="80" t="s">
        <v>824</v>
      </c>
      <c r="G832" s="94">
        <v>1851115</v>
      </c>
      <c r="H832" s="78" t="s">
        <v>354</v>
      </c>
      <c r="I832" s="78" t="s">
        <v>724</v>
      </c>
      <c r="J832" s="78" t="s">
        <v>832</v>
      </c>
      <c r="K832" s="78" t="s">
        <v>354</v>
      </c>
    </row>
    <row r="833" spans="1:11" s="77" customFormat="1" ht="15" hidden="1" customHeight="1">
      <c r="A833" s="83">
        <v>45902</v>
      </c>
      <c r="B833" s="102" t="s">
        <v>331</v>
      </c>
      <c r="C833" s="77" t="s">
        <v>717</v>
      </c>
      <c r="D833" s="86" t="s">
        <v>726</v>
      </c>
      <c r="E833" s="96" t="s">
        <v>735</v>
      </c>
      <c r="F833" s="98" t="s">
        <v>728</v>
      </c>
      <c r="G833" s="88" t="s">
        <v>721</v>
      </c>
    </row>
    <row r="834" spans="1:11" s="77" customFormat="1" ht="15" hidden="1" customHeight="1">
      <c r="A834" s="83">
        <v>45902</v>
      </c>
      <c r="B834" s="102" t="s">
        <v>331</v>
      </c>
      <c r="C834" s="77" t="s">
        <v>717</v>
      </c>
      <c r="D834" s="86" t="s">
        <v>736</v>
      </c>
      <c r="E834" s="96" t="s">
        <v>737</v>
      </c>
      <c r="F834" s="98" t="s">
        <v>728</v>
      </c>
      <c r="G834" s="88" t="s">
        <v>721</v>
      </c>
    </row>
    <row r="835" spans="1:11" s="77" customFormat="1" ht="15" hidden="1" customHeight="1">
      <c r="A835" s="83">
        <v>45902</v>
      </c>
      <c r="B835" s="102" t="s">
        <v>331</v>
      </c>
      <c r="C835" s="77" t="s">
        <v>717</v>
      </c>
      <c r="D835" s="86" t="s">
        <v>736</v>
      </c>
      <c r="E835" s="96" t="s">
        <v>738</v>
      </c>
      <c r="F835" s="98" t="s">
        <v>728</v>
      </c>
      <c r="G835" s="88" t="s">
        <v>721</v>
      </c>
    </row>
    <row r="836" spans="1:11" ht="15" customHeight="1">
      <c r="A836" s="90">
        <v>45902</v>
      </c>
      <c r="B836" s="101" t="s">
        <v>331</v>
      </c>
      <c r="C836" s="78" t="s">
        <v>717</v>
      </c>
      <c r="D836" s="92" t="s">
        <v>739</v>
      </c>
      <c r="E836" s="78" t="s">
        <v>740</v>
      </c>
      <c r="F836" s="80" t="s">
        <v>826</v>
      </c>
      <c r="G836" s="94">
        <v>1851115</v>
      </c>
      <c r="H836" s="78" t="s">
        <v>354</v>
      </c>
      <c r="I836" s="78" t="s">
        <v>724</v>
      </c>
      <c r="J836" s="78" t="s">
        <v>833</v>
      </c>
      <c r="K836" s="78" t="s">
        <v>354</v>
      </c>
    </row>
    <row r="837" spans="1:11" s="77" customFormat="1" ht="15" hidden="1" customHeight="1">
      <c r="A837" s="83">
        <v>45902</v>
      </c>
      <c r="B837" s="102" t="s">
        <v>331</v>
      </c>
      <c r="C837" s="77" t="s">
        <v>717</v>
      </c>
      <c r="D837" s="85" t="s">
        <v>739</v>
      </c>
      <c r="E837" s="96" t="s">
        <v>741</v>
      </c>
      <c r="F837" s="98" t="s">
        <v>728</v>
      </c>
      <c r="G837" s="88" t="s">
        <v>721</v>
      </c>
    </row>
    <row r="838" spans="1:11" s="77" customFormat="1" ht="15" hidden="1" customHeight="1">
      <c r="A838" s="83">
        <v>45902</v>
      </c>
      <c r="B838" s="102" t="s">
        <v>331</v>
      </c>
      <c r="C838" s="77" t="s">
        <v>717</v>
      </c>
      <c r="D838" s="85" t="s">
        <v>739</v>
      </c>
      <c r="E838" s="96" t="s">
        <v>743</v>
      </c>
      <c r="F838" s="98" t="s">
        <v>728</v>
      </c>
      <c r="G838" s="88" t="s">
        <v>721</v>
      </c>
    </row>
    <row r="839" spans="1:11" s="77" customFormat="1" ht="15" hidden="1" customHeight="1">
      <c r="A839" s="83">
        <v>45902</v>
      </c>
      <c r="B839" s="102" t="s">
        <v>331</v>
      </c>
      <c r="C839" s="77" t="s">
        <v>717</v>
      </c>
      <c r="D839" s="85" t="s">
        <v>744</v>
      </c>
      <c r="E839" s="96" t="s">
        <v>745</v>
      </c>
      <c r="F839" s="98" t="s">
        <v>728</v>
      </c>
      <c r="G839" s="88" t="s">
        <v>721</v>
      </c>
    </row>
    <row r="840" spans="1:11" s="77" customFormat="1" ht="15" hidden="1" customHeight="1">
      <c r="A840" s="83">
        <v>45902</v>
      </c>
      <c r="B840" s="102" t="s">
        <v>331</v>
      </c>
      <c r="C840" s="77" t="s">
        <v>717</v>
      </c>
      <c r="D840" s="85" t="s">
        <v>744</v>
      </c>
      <c r="E840" s="96" t="s">
        <v>746</v>
      </c>
      <c r="F840" s="98" t="s">
        <v>728</v>
      </c>
      <c r="G840" s="88" t="s">
        <v>721</v>
      </c>
    </row>
    <row r="841" spans="1:11" s="77" customFormat="1" ht="15" hidden="1" customHeight="1">
      <c r="A841" s="83">
        <v>45902</v>
      </c>
      <c r="B841" s="102" t="s">
        <v>331</v>
      </c>
      <c r="C841" s="77" t="s">
        <v>717</v>
      </c>
      <c r="D841" s="85" t="s">
        <v>744</v>
      </c>
      <c r="E841" s="96" t="s">
        <v>747</v>
      </c>
      <c r="F841" s="87" t="s">
        <v>801</v>
      </c>
      <c r="G841" s="88" t="s">
        <v>721</v>
      </c>
    </row>
    <row r="842" spans="1:11" s="77" customFormat="1" ht="15" hidden="1" customHeight="1">
      <c r="A842" s="83">
        <v>45902</v>
      </c>
      <c r="B842" s="102" t="s">
        <v>331</v>
      </c>
      <c r="C842" s="77" t="s">
        <v>717</v>
      </c>
      <c r="D842" s="85" t="s">
        <v>744</v>
      </c>
      <c r="E842" s="96" t="s">
        <v>748</v>
      </c>
      <c r="F842" s="87" t="s">
        <v>801</v>
      </c>
      <c r="G842" s="88" t="s">
        <v>721</v>
      </c>
    </row>
    <row r="843" spans="1:11" s="77" customFormat="1" ht="15" hidden="1" customHeight="1">
      <c r="A843" s="83">
        <v>45902</v>
      </c>
      <c r="B843" s="102" t="s">
        <v>331</v>
      </c>
      <c r="C843" s="77" t="s">
        <v>717</v>
      </c>
      <c r="D843" s="85" t="s">
        <v>744</v>
      </c>
      <c r="E843" s="96" t="s">
        <v>749</v>
      </c>
      <c r="F843" s="87" t="s">
        <v>801</v>
      </c>
      <c r="G843" s="88" t="s">
        <v>721</v>
      </c>
    </row>
    <row r="844" spans="1:11" s="77" customFormat="1" ht="15" hidden="1" customHeight="1">
      <c r="A844" s="83">
        <v>45902</v>
      </c>
      <c r="B844" s="102" t="s">
        <v>331</v>
      </c>
      <c r="C844" s="77" t="s">
        <v>717</v>
      </c>
      <c r="D844" s="85" t="s">
        <v>750</v>
      </c>
      <c r="E844" s="96" t="s">
        <v>751</v>
      </c>
      <c r="F844" s="103" t="s">
        <v>728</v>
      </c>
      <c r="G844" s="88" t="s">
        <v>721</v>
      </c>
    </row>
    <row r="845" spans="1:11" s="77" customFormat="1" ht="15" hidden="1" customHeight="1">
      <c r="A845" s="83">
        <v>45902</v>
      </c>
      <c r="B845" s="102" t="s">
        <v>331</v>
      </c>
      <c r="C845" s="77" t="s">
        <v>717</v>
      </c>
      <c r="D845" s="85" t="s">
        <v>750</v>
      </c>
      <c r="E845" s="96" t="s">
        <v>752</v>
      </c>
      <c r="F845" s="103" t="s">
        <v>728</v>
      </c>
      <c r="G845" s="88" t="s">
        <v>721</v>
      </c>
    </row>
    <row r="846" spans="1:11" ht="15" customHeight="1">
      <c r="A846" s="90">
        <v>45902</v>
      </c>
      <c r="B846" s="101" t="s">
        <v>331</v>
      </c>
      <c r="C846" s="78" t="s">
        <v>717</v>
      </c>
      <c r="D846" s="92" t="s">
        <v>750</v>
      </c>
      <c r="E846" s="78" t="s">
        <v>753</v>
      </c>
      <c r="F846" s="80" t="s">
        <v>826</v>
      </c>
      <c r="G846" s="94">
        <v>1851115</v>
      </c>
      <c r="H846" s="78" t="s">
        <v>354</v>
      </c>
      <c r="I846" s="78" t="s">
        <v>774</v>
      </c>
      <c r="J846" s="78" t="s">
        <v>833</v>
      </c>
      <c r="K846" s="78" t="s">
        <v>354</v>
      </c>
    </row>
    <row r="847" spans="1:11" ht="15" customHeight="1">
      <c r="A847" s="90">
        <v>45902</v>
      </c>
      <c r="B847" s="101" t="s">
        <v>331</v>
      </c>
      <c r="C847" s="78" t="s">
        <v>717</v>
      </c>
      <c r="D847" s="92" t="s">
        <v>750</v>
      </c>
      <c r="E847" s="78" t="s">
        <v>754</v>
      </c>
      <c r="F847" s="80" t="s">
        <v>828</v>
      </c>
      <c r="G847" s="94">
        <v>1851115</v>
      </c>
      <c r="H847" s="78" t="s">
        <v>354</v>
      </c>
      <c r="I847" s="78" t="s">
        <v>774</v>
      </c>
      <c r="J847" s="78" t="s">
        <v>833</v>
      </c>
      <c r="K847" s="78" t="s">
        <v>354</v>
      </c>
    </row>
    <row r="848" spans="1:11" s="77" customFormat="1" ht="15" hidden="1" customHeight="1">
      <c r="A848" s="83">
        <v>45902</v>
      </c>
      <c r="B848" s="102" t="s">
        <v>331</v>
      </c>
      <c r="C848" s="77" t="s">
        <v>717</v>
      </c>
      <c r="D848" s="85" t="s">
        <v>755</v>
      </c>
      <c r="E848" s="86" t="s">
        <v>756</v>
      </c>
      <c r="F848" s="87" t="s">
        <v>802</v>
      </c>
      <c r="G848" s="88" t="s">
        <v>721</v>
      </c>
    </row>
    <row r="849" spans="1:11" s="77" customFormat="1" ht="15" hidden="1" customHeight="1">
      <c r="A849" s="83">
        <v>45902</v>
      </c>
      <c r="B849" s="102" t="s">
        <v>331</v>
      </c>
      <c r="C849" s="77" t="s">
        <v>717</v>
      </c>
      <c r="D849" s="85" t="s">
        <v>755</v>
      </c>
      <c r="E849" s="96" t="s">
        <v>757</v>
      </c>
      <c r="F849" s="87" t="s">
        <v>802</v>
      </c>
      <c r="G849" s="88" t="s">
        <v>721</v>
      </c>
    </row>
    <row r="850" spans="1:11" ht="15" customHeight="1">
      <c r="A850" s="90">
        <v>45902</v>
      </c>
      <c r="B850" s="101" t="s">
        <v>331</v>
      </c>
      <c r="C850" s="78" t="s">
        <v>717</v>
      </c>
      <c r="D850" s="92" t="s">
        <v>758</v>
      </c>
      <c r="E850" s="78" t="s">
        <v>759</v>
      </c>
      <c r="F850" s="80" t="s">
        <v>834</v>
      </c>
      <c r="G850" s="94">
        <v>1851115</v>
      </c>
      <c r="H850" s="78" t="s">
        <v>354</v>
      </c>
      <c r="I850" s="78" t="s">
        <v>774</v>
      </c>
      <c r="J850" s="78" t="s">
        <v>833</v>
      </c>
      <c r="K850" s="78" t="s">
        <v>354</v>
      </c>
    </row>
    <row r="851" spans="1:11" ht="15" customHeight="1">
      <c r="A851" s="90">
        <v>45902</v>
      </c>
      <c r="B851" s="101" t="s">
        <v>331</v>
      </c>
      <c r="C851" s="78" t="s">
        <v>717</v>
      </c>
      <c r="D851" s="92" t="s">
        <v>758</v>
      </c>
      <c r="E851" s="78" t="s">
        <v>760</v>
      </c>
      <c r="F851" s="80" t="s">
        <v>834</v>
      </c>
      <c r="G851" s="94">
        <v>1851115</v>
      </c>
      <c r="H851" s="78" t="s">
        <v>354</v>
      </c>
      <c r="I851" s="78" t="s">
        <v>774</v>
      </c>
      <c r="J851" s="78" t="s">
        <v>833</v>
      </c>
      <c r="K851" s="78" t="s">
        <v>354</v>
      </c>
    </row>
    <row r="852" spans="1:11" ht="15" customHeight="1">
      <c r="A852" s="90">
        <v>45902</v>
      </c>
      <c r="B852" s="101" t="s">
        <v>331</v>
      </c>
      <c r="C852" s="78" t="s">
        <v>717</v>
      </c>
      <c r="D852" s="92" t="s">
        <v>758</v>
      </c>
      <c r="E852" s="78" t="s">
        <v>761</v>
      </c>
      <c r="F852" s="80" t="s">
        <v>834</v>
      </c>
      <c r="G852" s="94">
        <v>1851115</v>
      </c>
      <c r="H852" s="78" t="s">
        <v>354</v>
      </c>
      <c r="I852" s="78" t="s">
        <v>774</v>
      </c>
      <c r="J852" s="78" t="s">
        <v>833</v>
      </c>
      <c r="K852" s="78" t="s">
        <v>354</v>
      </c>
    </row>
    <row r="853" spans="1:11" ht="15" customHeight="1">
      <c r="A853" s="90">
        <v>45902</v>
      </c>
      <c r="B853" s="101" t="s">
        <v>331</v>
      </c>
      <c r="C853" s="78" t="s">
        <v>717</v>
      </c>
      <c r="D853" s="92" t="s">
        <v>758</v>
      </c>
      <c r="E853" s="78" t="s">
        <v>762</v>
      </c>
      <c r="F853" s="80" t="s">
        <v>834</v>
      </c>
      <c r="G853" s="94">
        <v>1851115</v>
      </c>
      <c r="H853" s="78" t="s">
        <v>354</v>
      </c>
      <c r="I853" s="78" t="s">
        <v>774</v>
      </c>
      <c r="J853" s="78" t="s">
        <v>833</v>
      </c>
      <c r="K853" s="78" t="s">
        <v>354</v>
      </c>
    </row>
    <row r="854" spans="1:11" ht="15" customHeight="1">
      <c r="A854" s="90">
        <v>45902</v>
      </c>
      <c r="B854" s="101" t="s">
        <v>331</v>
      </c>
      <c r="C854" s="78" t="s">
        <v>717</v>
      </c>
      <c r="D854" s="92" t="s">
        <v>758</v>
      </c>
      <c r="E854" s="78" t="s">
        <v>763</v>
      </c>
      <c r="F854" s="80" t="s">
        <v>834</v>
      </c>
      <c r="G854" s="94">
        <v>1851115</v>
      </c>
      <c r="H854" s="78" t="s">
        <v>354</v>
      </c>
      <c r="I854" s="78" t="s">
        <v>774</v>
      </c>
      <c r="J854" s="78" t="s">
        <v>833</v>
      </c>
      <c r="K854" s="78" t="s">
        <v>354</v>
      </c>
    </row>
    <row r="855" spans="1:11" ht="15" customHeight="1">
      <c r="A855" s="90">
        <v>45902</v>
      </c>
      <c r="B855" s="101" t="s">
        <v>331</v>
      </c>
      <c r="C855" s="78" t="s">
        <v>717</v>
      </c>
      <c r="D855" s="92" t="s">
        <v>758</v>
      </c>
      <c r="E855" s="78" t="s">
        <v>764</v>
      </c>
      <c r="F855" s="80" t="s">
        <v>834</v>
      </c>
      <c r="G855" s="94">
        <v>1851115</v>
      </c>
      <c r="H855" s="78" t="s">
        <v>354</v>
      </c>
      <c r="I855" s="78" t="s">
        <v>774</v>
      </c>
      <c r="J855" s="78" t="s">
        <v>833</v>
      </c>
      <c r="K855" s="78" t="s">
        <v>354</v>
      </c>
    </row>
    <row r="856" spans="1:11" s="77" customFormat="1" ht="15" hidden="1" customHeight="1">
      <c r="A856" s="83">
        <v>45902</v>
      </c>
      <c r="B856" s="102" t="s">
        <v>331</v>
      </c>
      <c r="C856" s="77" t="s">
        <v>717</v>
      </c>
      <c r="D856" s="85" t="s">
        <v>718</v>
      </c>
      <c r="E856" s="96" t="s">
        <v>719</v>
      </c>
      <c r="F856" s="98" t="s">
        <v>728</v>
      </c>
      <c r="G856" s="88" t="s">
        <v>721</v>
      </c>
    </row>
    <row r="857" spans="1:11" ht="15" customHeight="1">
      <c r="A857" s="90">
        <v>45902</v>
      </c>
      <c r="B857" s="101" t="s">
        <v>331</v>
      </c>
      <c r="C857" s="78" t="s">
        <v>717</v>
      </c>
      <c r="D857" s="92" t="s">
        <v>718</v>
      </c>
      <c r="E857" s="91" t="s">
        <v>765</v>
      </c>
      <c r="F857" s="80" t="s">
        <v>835</v>
      </c>
      <c r="G857" s="94">
        <v>1851115</v>
      </c>
      <c r="H857" s="78" t="s">
        <v>354</v>
      </c>
      <c r="I857" s="78" t="s">
        <v>774</v>
      </c>
      <c r="J857" s="78" t="s">
        <v>833</v>
      </c>
      <c r="K857" s="78" t="s">
        <v>354</v>
      </c>
    </row>
    <row r="858" spans="1:11" s="77" customFormat="1" ht="15" hidden="1" customHeight="1">
      <c r="A858" s="83">
        <v>45902</v>
      </c>
      <c r="B858" s="102" t="s">
        <v>331</v>
      </c>
      <c r="C858" s="77" t="s">
        <v>717</v>
      </c>
      <c r="D858" s="85" t="s">
        <v>718</v>
      </c>
      <c r="E858" s="86" t="s">
        <v>766</v>
      </c>
      <c r="F858" s="98" t="s">
        <v>728</v>
      </c>
      <c r="G858" s="88" t="s">
        <v>721</v>
      </c>
    </row>
    <row r="859" spans="1:11" s="77" customFormat="1" ht="15" hidden="1" customHeight="1">
      <c r="A859" s="83">
        <v>45902</v>
      </c>
      <c r="B859" s="102" t="s">
        <v>331</v>
      </c>
      <c r="C859" s="77" t="s">
        <v>717</v>
      </c>
      <c r="D859" s="85" t="s">
        <v>718</v>
      </c>
      <c r="E859" s="86" t="s">
        <v>767</v>
      </c>
      <c r="F859" s="98" t="s">
        <v>728</v>
      </c>
      <c r="G859" s="88" t="s">
        <v>721</v>
      </c>
    </row>
    <row r="860" spans="1:11" s="77" customFormat="1" ht="15" hidden="1" customHeight="1">
      <c r="A860" s="83">
        <v>45902</v>
      </c>
      <c r="B860" s="102" t="s">
        <v>331</v>
      </c>
      <c r="C860" s="77" t="s">
        <v>717</v>
      </c>
      <c r="D860" s="85" t="s">
        <v>718</v>
      </c>
      <c r="E860" s="86" t="s">
        <v>768</v>
      </c>
      <c r="F860" s="98" t="s">
        <v>728</v>
      </c>
      <c r="G860" s="88" t="s">
        <v>721</v>
      </c>
    </row>
    <row r="861" spans="1:11" s="77" customFormat="1" ht="15" hidden="1" customHeight="1">
      <c r="A861" s="83">
        <v>45902</v>
      </c>
      <c r="B861" s="102" t="s">
        <v>331</v>
      </c>
      <c r="C861" s="77" t="s">
        <v>717</v>
      </c>
      <c r="D861" s="85" t="s">
        <v>718</v>
      </c>
      <c r="E861" s="86" t="s">
        <v>769</v>
      </c>
      <c r="F861" s="98" t="s">
        <v>728</v>
      </c>
      <c r="G861" s="88" t="s">
        <v>721</v>
      </c>
    </row>
    <row r="862" spans="1:11" s="77" customFormat="1" ht="15" hidden="1" customHeight="1">
      <c r="A862" s="83">
        <v>45902</v>
      </c>
      <c r="B862" s="102" t="s">
        <v>331</v>
      </c>
      <c r="C862" s="77" t="s">
        <v>717</v>
      </c>
      <c r="D862" s="85" t="s">
        <v>718</v>
      </c>
      <c r="E862" s="86" t="s">
        <v>770</v>
      </c>
      <c r="F862" s="98" t="s">
        <v>728</v>
      </c>
      <c r="G862" s="88" t="s">
        <v>721</v>
      </c>
    </row>
    <row r="863" spans="1:11" ht="15" customHeight="1">
      <c r="A863" s="90">
        <v>45902</v>
      </c>
      <c r="B863" s="101" t="s">
        <v>331</v>
      </c>
      <c r="C863" s="78" t="s">
        <v>717</v>
      </c>
      <c r="D863" s="92" t="s">
        <v>718</v>
      </c>
      <c r="E863" s="91" t="s">
        <v>771</v>
      </c>
      <c r="F863" s="80" t="s">
        <v>830</v>
      </c>
      <c r="G863" s="94">
        <v>1851115</v>
      </c>
      <c r="H863" s="78" t="s">
        <v>354</v>
      </c>
      <c r="I863" s="78" t="s">
        <v>774</v>
      </c>
      <c r="J863" s="78" t="s">
        <v>833</v>
      </c>
      <c r="K863" s="78" t="s">
        <v>354</v>
      </c>
    </row>
    <row r="864" spans="1:11" ht="15" customHeight="1">
      <c r="A864" s="90">
        <v>45902</v>
      </c>
      <c r="B864" s="101" t="s">
        <v>331</v>
      </c>
      <c r="C864" s="78" t="s">
        <v>717</v>
      </c>
      <c r="D864" s="92" t="s">
        <v>718</v>
      </c>
      <c r="E864" s="91" t="s">
        <v>772</v>
      </c>
      <c r="F864" s="80" t="s">
        <v>831</v>
      </c>
      <c r="G864" s="94">
        <v>1851115</v>
      </c>
      <c r="H864" s="78" t="s">
        <v>354</v>
      </c>
      <c r="I864" s="78" t="s">
        <v>774</v>
      </c>
      <c r="J864" s="78" t="s">
        <v>833</v>
      </c>
      <c r="K864" s="78" t="s">
        <v>354</v>
      </c>
    </row>
    <row r="865" spans="1:11" s="77" customFormat="1" ht="15" hidden="1" customHeight="1">
      <c r="A865" s="83">
        <v>45902</v>
      </c>
      <c r="B865" s="102" t="s">
        <v>331</v>
      </c>
      <c r="C865" s="77" t="s">
        <v>717</v>
      </c>
      <c r="D865" s="85" t="s">
        <v>718</v>
      </c>
      <c r="E865" s="96" t="s">
        <v>803</v>
      </c>
      <c r="F865" s="98" t="s">
        <v>728</v>
      </c>
      <c r="G865" s="88" t="s">
        <v>721</v>
      </c>
    </row>
    <row r="866" spans="1:11" s="77" customFormat="1" ht="15" hidden="1" customHeight="1">
      <c r="A866" s="83">
        <v>45902</v>
      </c>
      <c r="B866" s="77" t="s">
        <v>521</v>
      </c>
      <c r="C866" s="77" t="s">
        <v>717</v>
      </c>
      <c r="D866" s="86" t="s">
        <v>726</v>
      </c>
      <c r="E866" s="95" t="s">
        <v>727</v>
      </c>
      <c r="F866" s="98" t="s">
        <v>728</v>
      </c>
      <c r="G866" s="88" t="s">
        <v>721</v>
      </c>
    </row>
    <row r="867" spans="1:11" s="77" customFormat="1" ht="15" hidden="1" customHeight="1">
      <c r="A867" s="83">
        <v>45902</v>
      </c>
      <c r="B867" s="77" t="s">
        <v>521</v>
      </c>
      <c r="C867" s="77" t="s">
        <v>717</v>
      </c>
      <c r="D867" s="86" t="s">
        <v>726</v>
      </c>
      <c r="E867" s="96" t="s">
        <v>729</v>
      </c>
      <c r="F867" s="98" t="s">
        <v>728</v>
      </c>
      <c r="G867" s="88" t="s">
        <v>721</v>
      </c>
    </row>
    <row r="868" spans="1:11" s="77" customFormat="1" ht="15" hidden="1" customHeight="1">
      <c r="A868" s="83">
        <v>45902</v>
      </c>
      <c r="B868" s="77" t="s">
        <v>521</v>
      </c>
      <c r="C868" s="77" t="s">
        <v>717</v>
      </c>
      <c r="D868" s="86" t="s">
        <v>726</v>
      </c>
      <c r="E868" s="96" t="s">
        <v>730</v>
      </c>
      <c r="F868" s="98" t="s">
        <v>728</v>
      </c>
      <c r="G868" s="88" t="s">
        <v>721</v>
      </c>
    </row>
    <row r="869" spans="1:11" s="77" customFormat="1" ht="15" hidden="1" customHeight="1">
      <c r="A869" s="83">
        <v>45902</v>
      </c>
      <c r="B869" s="77" t="s">
        <v>521</v>
      </c>
      <c r="C869" s="77" t="s">
        <v>717</v>
      </c>
      <c r="D869" s="86" t="s">
        <v>726</v>
      </c>
      <c r="E869" s="96" t="s">
        <v>731</v>
      </c>
      <c r="F869" s="98" t="s">
        <v>728</v>
      </c>
      <c r="G869" s="88" t="s">
        <v>721</v>
      </c>
    </row>
    <row r="870" spans="1:11" s="77" customFormat="1" ht="15" hidden="1" customHeight="1">
      <c r="A870" s="83">
        <v>45902</v>
      </c>
      <c r="B870" s="77" t="s">
        <v>521</v>
      </c>
      <c r="C870" s="77" t="s">
        <v>717</v>
      </c>
      <c r="D870" s="86" t="s">
        <v>726</v>
      </c>
      <c r="E870" s="96" t="s">
        <v>732</v>
      </c>
      <c r="F870" s="98" t="s">
        <v>728</v>
      </c>
      <c r="G870" s="88" t="s">
        <v>721</v>
      </c>
    </row>
    <row r="871" spans="1:11" s="77" customFormat="1" ht="15" hidden="1" customHeight="1">
      <c r="A871" s="83">
        <v>45902</v>
      </c>
      <c r="B871" s="77" t="s">
        <v>521</v>
      </c>
      <c r="C871" s="77" t="s">
        <v>717</v>
      </c>
      <c r="D871" s="86" t="s">
        <v>726</v>
      </c>
      <c r="E871" s="96" t="s">
        <v>733</v>
      </c>
      <c r="F871" s="98" t="s">
        <v>728</v>
      </c>
      <c r="G871" s="88" t="s">
        <v>721</v>
      </c>
    </row>
    <row r="872" spans="1:11" s="77" customFormat="1" ht="15" hidden="1" customHeight="1">
      <c r="A872" s="83">
        <v>45902</v>
      </c>
      <c r="B872" s="77" t="s">
        <v>521</v>
      </c>
      <c r="C872" s="77" t="s">
        <v>717</v>
      </c>
      <c r="D872" s="86" t="s">
        <v>726</v>
      </c>
      <c r="E872" s="96" t="s">
        <v>734</v>
      </c>
      <c r="F872" s="98" t="s">
        <v>728</v>
      </c>
      <c r="G872" s="88" t="s">
        <v>721</v>
      </c>
    </row>
    <row r="873" spans="1:11" s="77" customFormat="1" ht="15" hidden="1" customHeight="1">
      <c r="A873" s="83">
        <v>45902</v>
      </c>
      <c r="B873" s="77" t="s">
        <v>521</v>
      </c>
      <c r="C873" s="77" t="s">
        <v>717</v>
      </c>
      <c r="D873" s="86" t="s">
        <v>726</v>
      </c>
      <c r="E873" s="96" t="s">
        <v>735</v>
      </c>
      <c r="F873" s="98" t="s">
        <v>728</v>
      </c>
      <c r="G873" s="88" t="s">
        <v>721</v>
      </c>
    </row>
    <row r="874" spans="1:11" ht="15" customHeight="1">
      <c r="A874" s="90">
        <v>45902</v>
      </c>
      <c r="B874" s="78" t="s">
        <v>521</v>
      </c>
      <c r="C874" s="78" t="s">
        <v>717</v>
      </c>
      <c r="D874" s="91" t="s">
        <v>736</v>
      </c>
      <c r="E874" s="78" t="s">
        <v>737</v>
      </c>
      <c r="F874" s="80" t="s">
        <v>836</v>
      </c>
      <c r="G874" s="94">
        <v>1854972</v>
      </c>
      <c r="H874" s="78" t="s">
        <v>354</v>
      </c>
      <c r="I874" s="78" t="s">
        <v>774</v>
      </c>
      <c r="J874" s="78" t="s">
        <v>725</v>
      </c>
      <c r="K874" s="78" t="s">
        <v>354</v>
      </c>
    </row>
    <row r="875" spans="1:11" s="77" customFormat="1" ht="15" hidden="1" customHeight="1">
      <c r="A875" s="83">
        <v>45902</v>
      </c>
      <c r="B875" s="77" t="s">
        <v>521</v>
      </c>
      <c r="C875" s="77" t="s">
        <v>717</v>
      </c>
      <c r="D875" s="86" t="s">
        <v>736</v>
      </c>
      <c r="E875" s="96" t="s">
        <v>738</v>
      </c>
      <c r="F875" s="98" t="s">
        <v>728</v>
      </c>
      <c r="G875" s="88" t="s">
        <v>721</v>
      </c>
    </row>
    <row r="876" spans="1:11" s="77" customFormat="1" ht="15" hidden="1" customHeight="1">
      <c r="A876" s="83">
        <v>45902</v>
      </c>
      <c r="B876" s="77" t="s">
        <v>521</v>
      </c>
      <c r="C876" s="77" t="s">
        <v>717</v>
      </c>
      <c r="D876" s="85" t="s">
        <v>739</v>
      </c>
      <c r="E876" s="96" t="s">
        <v>740</v>
      </c>
      <c r="F876" s="98" t="s">
        <v>728</v>
      </c>
      <c r="G876" s="88" t="s">
        <v>721</v>
      </c>
    </row>
    <row r="877" spans="1:11" s="77" customFormat="1" ht="15" hidden="1" customHeight="1">
      <c r="A877" s="83">
        <v>45902</v>
      </c>
      <c r="B877" s="77" t="s">
        <v>521</v>
      </c>
      <c r="C877" s="77" t="s">
        <v>717</v>
      </c>
      <c r="D877" s="85" t="s">
        <v>739</v>
      </c>
      <c r="E877" s="96" t="s">
        <v>741</v>
      </c>
      <c r="F877" s="98" t="s">
        <v>728</v>
      </c>
      <c r="G877" s="88" t="s">
        <v>721</v>
      </c>
    </row>
    <row r="878" spans="1:11" s="77" customFormat="1" ht="15" hidden="1" customHeight="1">
      <c r="A878" s="83">
        <v>45902</v>
      </c>
      <c r="B878" s="77" t="s">
        <v>521</v>
      </c>
      <c r="C878" s="77" t="s">
        <v>717</v>
      </c>
      <c r="D878" s="85" t="s">
        <v>739</v>
      </c>
      <c r="E878" s="96" t="s">
        <v>743</v>
      </c>
      <c r="F878" s="98" t="s">
        <v>728</v>
      </c>
      <c r="G878" s="88" t="s">
        <v>721</v>
      </c>
    </row>
    <row r="879" spans="1:11" s="77" customFormat="1" ht="15" hidden="1" customHeight="1">
      <c r="A879" s="83">
        <v>45902</v>
      </c>
      <c r="B879" s="77" t="s">
        <v>521</v>
      </c>
      <c r="C879" s="77" t="s">
        <v>717</v>
      </c>
      <c r="D879" s="85" t="s">
        <v>744</v>
      </c>
      <c r="E879" s="96" t="s">
        <v>745</v>
      </c>
      <c r="F879" s="98" t="s">
        <v>728</v>
      </c>
      <c r="G879" s="88" t="s">
        <v>721</v>
      </c>
    </row>
    <row r="880" spans="1:11" s="77" customFormat="1" ht="15" hidden="1" customHeight="1">
      <c r="A880" s="83">
        <v>45902</v>
      </c>
      <c r="B880" s="77" t="s">
        <v>521</v>
      </c>
      <c r="C880" s="77" t="s">
        <v>717</v>
      </c>
      <c r="D880" s="85" t="s">
        <v>744</v>
      </c>
      <c r="E880" s="96" t="s">
        <v>746</v>
      </c>
      <c r="F880" s="98" t="s">
        <v>728</v>
      </c>
      <c r="G880" s="88" t="s">
        <v>721</v>
      </c>
    </row>
    <row r="881" spans="1:11" s="77" customFormat="1" ht="15" hidden="1" customHeight="1">
      <c r="A881" s="83">
        <v>45902</v>
      </c>
      <c r="B881" s="77" t="s">
        <v>521</v>
      </c>
      <c r="C881" s="77" t="s">
        <v>717</v>
      </c>
      <c r="D881" s="85" t="s">
        <v>744</v>
      </c>
      <c r="E881" s="96" t="s">
        <v>747</v>
      </c>
      <c r="F881" s="98" t="s">
        <v>801</v>
      </c>
      <c r="G881" s="88" t="s">
        <v>721</v>
      </c>
    </row>
    <row r="882" spans="1:11" s="77" customFormat="1" ht="15" hidden="1" customHeight="1">
      <c r="A882" s="83">
        <v>45902</v>
      </c>
      <c r="B882" s="77" t="s">
        <v>521</v>
      </c>
      <c r="C882" s="77" t="s">
        <v>717</v>
      </c>
      <c r="D882" s="85" t="s">
        <v>744</v>
      </c>
      <c r="E882" s="96" t="s">
        <v>748</v>
      </c>
      <c r="F882" s="98" t="s">
        <v>801</v>
      </c>
      <c r="G882" s="88" t="s">
        <v>721</v>
      </c>
    </row>
    <row r="883" spans="1:11" s="77" customFormat="1" ht="15" hidden="1" customHeight="1">
      <c r="A883" s="83">
        <v>45902</v>
      </c>
      <c r="B883" s="77" t="s">
        <v>521</v>
      </c>
      <c r="C883" s="77" t="s">
        <v>717</v>
      </c>
      <c r="D883" s="85" t="s">
        <v>744</v>
      </c>
      <c r="E883" s="96" t="s">
        <v>749</v>
      </c>
      <c r="F883" s="98" t="s">
        <v>801</v>
      </c>
      <c r="G883" s="88" t="s">
        <v>721</v>
      </c>
    </row>
    <row r="884" spans="1:11" ht="15" customHeight="1">
      <c r="A884" s="90">
        <v>45902</v>
      </c>
      <c r="B884" s="78" t="s">
        <v>521</v>
      </c>
      <c r="C884" s="78" t="s">
        <v>717</v>
      </c>
      <c r="D884" s="92" t="s">
        <v>750</v>
      </c>
      <c r="E884" s="78" t="s">
        <v>751</v>
      </c>
      <c r="F884" s="80" t="s">
        <v>837</v>
      </c>
      <c r="G884" s="94">
        <v>1854972</v>
      </c>
      <c r="H884" s="78" t="s">
        <v>354</v>
      </c>
      <c r="I884" s="78" t="s">
        <v>774</v>
      </c>
      <c r="J884" s="78" t="s">
        <v>725</v>
      </c>
      <c r="K884" s="78" t="s">
        <v>354</v>
      </c>
    </row>
    <row r="885" spans="1:11" s="77" customFormat="1" ht="15" hidden="1" customHeight="1">
      <c r="A885" s="83">
        <v>45902</v>
      </c>
      <c r="B885" s="77" t="s">
        <v>521</v>
      </c>
      <c r="C885" s="77" t="s">
        <v>717</v>
      </c>
      <c r="D885" s="85" t="s">
        <v>750</v>
      </c>
      <c r="E885" s="96" t="s">
        <v>752</v>
      </c>
      <c r="F885" s="98" t="s">
        <v>728</v>
      </c>
      <c r="G885" s="88" t="s">
        <v>721</v>
      </c>
    </row>
    <row r="886" spans="1:11" s="77" customFormat="1" ht="15" hidden="1" customHeight="1">
      <c r="A886" s="83">
        <v>45902</v>
      </c>
      <c r="B886" s="77" t="s">
        <v>521</v>
      </c>
      <c r="C886" s="77" t="s">
        <v>717</v>
      </c>
      <c r="D886" s="85" t="s">
        <v>750</v>
      </c>
      <c r="E886" s="96" t="s">
        <v>753</v>
      </c>
      <c r="F886" s="87" t="s">
        <v>728</v>
      </c>
      <c r="G886" s="88" t="s">
        <v>721</v>
      </c>
    </row>
    <row r="887" spans="1:11" s="77" customFormat="1" ht="15" hidden="1" customHeight="1">
      <c r="A887" s="83">
        <v>45902</v>
      </c>
      <c r="B887" s="77" t="s">
        <v>521</v>
      </c>
      <c r="C887" s="77" t="s">
        <v>717</v>
      </c>
      <c r="D887" s="85" t="s">
        <v>750</v>
      </c>
      <c r="E887" s="96" t="s">
        <v>754</v>
      </c>
      <c r="F887" s="98" t="s">
        <v>728</v>
      </c>
      <c r="G887" s="88" t="s">
        <v>721</v>
      </c>
    </row>
    <row r="888" spans="1:11" s="77" customFormat="1" ht="15" hidden="1" customHeight="1">
      <c r="A888" s="83">
        <v>45902</v>
      </c>
      <c r="B888" s="77" t="s">
        <v>521</v>
      </c>
      <c r="C888" s="77" t="s">
        <v>717</v>
      </c>
      <c r="D888" s="85" t="s">
        <v>755</v>
      </c>
      <c r="E888" s="86" t="s">
        <v>756</v>
      </c>
      <c r="F888" s="98" t="s">
        <v>802</v>
      </c>
      <c r="G888" s="88" t="s">
        <v>721</v>
      </c>
    </row>
    <row r="889" spans="1:11" s="77" customFormat="1" ht="15" hidden="1" customHeight="1">
      <c r="A889" s="83">
        <v>45902</v>
      </c>
      <c r="B889" s="77" t="s">
        <v>521</v>
      </c>
      <c r="C889" s="77" t="s">
        <v>717</v>
      </c>
      <c r="D889" s="85" t="s">
        <v>755</v>
      </c>
      <c r="E889" s="96" t="s">
        <v>757</v>
      </c>
      <c r="F889" s="98" t="s">
        <v>802</v>
      </c>
      <c r="G889" s="88" t="s">
        <v>721</v>
      </c>
    </row>
    <row r="890" spans="1:11" s="77" customFormat="1" ht="15" hidden="1" customHeight="1">
      <c r="A890" s="83">
        <v>45902</v>
      </c>
      <c r="B890" s="77" t="s">
        <v>521</v>
      </c>
      <c r="C890" s="77" t="s">
        <v>717</v>
      </c>
      <c r="D890" s="85" t="s">
        <v>758</v>
      </c>
      <c r="E890" s="96" t="s">
        <v>759</v>
      </c>
      <c r="F890" s="98" t="s">
        <v>728</v>
      </c>
      <c r="G890" s="88" t="s">
        <v>721</v>
      </c>
    </row>
    <row r="891" spans="1:11" s="77" customFormat="1" ht="15" hidden="1" customHeight="1">
      <c r="A891" s="83">
        <v>45902</v>
      </c>
      <c r="B891" s="77" t="s">
        <v>521</v>
      </c>
      <c r="C891" s="77" t="s">
        <v>717</v>
      </c>
      <c r="D891" s="85" t="s">
        <v>758</v>
      </c>
      <c r="E891" s="96" t="s">
        <v>760</v>
      </c>
      <c r="F891" s="98" t="s">
        <v>728</v>
      </c>
      <c r="G891" s="88" t="s">
        <v>721</v>
      </c>
    </row>
    <row r="892" spans="1:11" s="77" customFormat="1" ht="15" hidden="1" customHeight="1">
      <c r="A892" s="83">
        <v>45902</v>
      </c>
      <c r="B892" s="77" t="s">
        <v>521</v>
      </c>
      <c r="C892" s="77" t="s">
        <v>717</v>
      </c>
      <c r="D892" s="85" t="s">
        <v>758</v>
      </c>
      <c r="E892" s="96" t="s">
        <v>761</v>
      </c>
      <c r="F892" s="98" t="s">
        <v>728</v>
      </c>
      <c r="G892" s="88" t="s">
        <v>721</v>
      </c>
    </row>
    <row r="893" spans="1:11" s="77" customFormat="1" ht="15" hidden="1" customHeight="1">
      <c r="A893" s="83">
        <v>45902</v>
      </c>
      <c r="B893" s="77" t="s">
        <v>521</v>
      </c>
      <c r="C893" s="77" t="s">
        <v>717</v>
      </c>
      <c r="D893" s="85" t="s">
        <v>758</v>
      </c>
      <c r="E893" s="96" t="s">
        <v>762</v>
      </c>
      <c r="F893" s="98" t="s">
        <v>728</v>
      </c>
      <c r="G893" s="88" t="s">
        <v>721</v>
      </c>
    </row>
    <row r="894" spans="1:11" s="77" customFormat="1" ht="15" hidden="1" customHeight="1">
      <c r="A894" s="83">
        <v>45902</v>
      </c>
      <c r="B894" s="77" t="s">
        <v>521</v>
      </c>
      <c r="C894" s="77" t="s">
        <v>717</v>
      </c>
      <c r="D894" s="85" t="s">
        <v>758</v>
      </c>
      <c r="E894" s="96" t="s">
        <v>763</v>
      </c>
      <c r="F894" s="98" t="s">
        <v>728</v>
      </c>
      <c r="G894" s="88" t="s">
        <v>721</v>
      </c>
    </row>
    <row r="895" spans="1:11" s="77" customFormat="1" ht="15" hidden="1" customHeight="1">
      <c r="A895" s="83">
        <v>45902</v>
      </c>
      <c r="B895" s="77" t="s">
        <v>521</v>
      </c>
      <c r="C895" s="77" t="s">
        <v>717</v>
      </c>
      <c r="D895" s="85" t="s">
        <v>758</v>
      </c>
      <c r="E895" s="96" t="s">
        <v>764</v>
      </c>
      <c r="F895" s="98" t="s">
        <v>728</v>
      </c>
      <c r="G895" s="88" t="s">
        <v>721</v>
      </c>
    </row>
    <row r="896" spans="1:11" s="77" customFormat="1" ht="15" hidden="1" customHeight="1">
      <c r="A896" s="83">
        <v>45902</v>
      </c>
      <c r="B896" s="77" t="s">
        <v>521</v>
      </c>
      <c r="C896" s="77" t="s">
        <v>717</v>
      </c>
      <c r="D896" s="85" t="s">
        <v>718</v>
      </c>
      <c r="E896" s="96" t="s">
        <v>719</v>
      </c>
      <c r="F896" s="98" t="s">
        <v>728</v>
      </c>
      <c r="G896" s="88" t="s">
        <v>721</v>
      </c>
    </row>
    <row r="897" spans="1:11" s="77" customFormat="1" ht="15" hidden="1" customHeight="1">
      <c r="A897" s="83">
        <v>45902</v>
      </c>
      <c r="B897" s="77" t="s">
        <v>521</v>
      </c>
      <c r="C897" s="77" t="s">
        <v>717</v>
      </c>
      <c r="D897" s="85" t="s">
        <v>718</v>
      </c>
      <c r="E897" s="86" t="s">
        <v>765</v>
      </c>
      <c r="F897" s="98" t="s">
        <v>728</v>
      </c>
      <c r="G897" s="88" t="s">
        <v>721</v>
      </c>
    </row>
    <row r="898" spans="1:11" s="77" customFormat="1" ht="15" hidden="1" customHeight="1">
      <c r="A898" s="83">
        <v>45902</v>
      </c>
      <c r="B898" s="77" t="s">
        <v>521</v>
      </c>
      <c r="C898" s="77" t="s">
        <v>717</v>
      </c>
      <c r="D898" s="85" t="s">
        <v>718</v>
      </c>
      <c r="E898" s="86" t="s">
        <v>766</v>
      </c>
      <c r="F898" s="98" t="s">
        <v>728</v>
      </c>
      <c r="G898" s="88" t="s">
        <v>721</v>
      </c>
    </row>
    <row r="899" spans="1:11" s="77" customFormat="1" ht="15" hidden="1" customHeight="1">
      <c r="A899" s="83">
        <v>45902</v>
      </c>
      <c r="B899" s="77" t="s">
        <v>521</v>
      </c>
      <c r="C899" s="77" t="s">
        <v>717</v>
      </c>
      <c r="D899" s="85" t="s">
        <v>718</v>
      </c>
      <c r="E899" s="86" t="s">
        <v>767</v>
      </c>
      <c r="F899" s="98" t="s">
        <v>728</v>
      </c>
      <c r="G899" s="88" t="s">
        <v>721</v>
      </c>
    </row>
    <row r="900" spans="1:11" s="77" customFormat="1" ht="15" hidden="1" customHeight="1">
      <c r="A900" s="83">
        <v>45902</v>
      </c>
      <c r="B900" s="77" t="s">
        <v>521</v>
      </c>
      <c r="C900" s="77" t="s">
        <v>717</v>
      </c>
      <c r="D900" s="85" t="s">
        <v>718</v>
      </c>
      <c r="E900" s="86" t="s">
        <v>768</v>
      </c>
      <c r="F900" s="98" t="s">
        <v>728</v>
      </c>
      <c r="G900" s="88" t="s">
        <v>721</v>
      </c>
    </row>
    <row r="901" spans="1:11" s="77" customFormat="1" ht="15" hidden="1" customHeight="1">
      <c r="A901" s="83">
        <v>45902</v>
      </c>
      <c r="B901" s="77" t="s">
        <v>521</v>
      </c>
      <c r="C901" s="77" t="s">
        <v>717</v>
      </c>
      <c r="D901" s="85" t="s">
        <v>718</v>
      </c>
      <c r="E901" s="86" t="s">
        <v>769</v>
      </c>
      <c r="F901" s="98" t="s">
        <v>728</v>
      </c>
      <c r="G901" s="88" t="s">
        <v>721</v>
      </c>
    </row>
    <row r="902" spans="1:11" s="77" customFormat="1" ht="15" hidden="1" customHeight="1">
      <c r="A902" s="83">
        <v>45902</v>
      </c>
      <c r="B902" s="77" t="s">
        <v>521</v>
      </c>
      <c r="C902" s="77" t="s">
        <v>717</v>
      </c>
      <c r="D902" s="85" t="s">
        <v>718</v>
      </c>
      <c r="E902" s="86" t="s">
        <v>770</v>
      </c>
      <c r="F902" s="98" t="s">
        <v>728</v>
      </c>
      <c r="G902" s="88" t="s">
        <v>721</v>
      </c>
    </row>
    <row r="903" spans="1:11" s="77" customFormat="1" ht="15" hidden="1" customHeight="1">
      <c r="A903" s="83">
        <v>45902</v>
      </c>
      <c r="B903" s="77" t="s">
        <v>521</v>
      </c>
      <c r="C903" s="77" t="s">
        <v>717</v>
      </c>
      <c r="D903" s="85" t="s">
        <v>718</v>
      </c>
      <c r="E903" s="86" t="s">
        <v>771</v>
      </c>
      <c r="F903" s="98" t="s">
        <v>728</v>
      </c>
      <c r="G903" s="88" t="s">
        <v>721</v>
      </c>
    </row>
    <row r="904" spans="1:11" s="77" customFormat="1" ht="15" hidden="1" customHeight="1">
      <c r="A904" s="83">
        <v>45902</v>
      </c>
      <c r="B904" s="77" t="s">
        <v>521</v>
      </c>
      <c r="C904" s="77" t="s">
        <v>717</v>
      </c>
      <c r="D904" s="85" t="s">
        <v>718</v>
      </c>
      <c r="E904" s="86" t="s">
        <v>772</v>
      </c>
      <c r="F904" s="98" t="s">
        <v>728</v>
      </c>
      <c r="G904" s="88" t="s">
        <v>721</v>
      </c>
    </row>
    <row r="905" spans="1:11" s="77" customFormat="1" ht="15" hidden="1" customHeight="1">
      <c r="A905" s="83">
        <v>45902</v>
      </c>
      <c r="B905" s="77" t="s">
        <v>521</v>
      </c>
      <c r="C905" s="77" t="s">
        <v>717</v>
      </c>
      <c r="D905" s="85" t="s">
        <v>718</v>
      </c>
      <c r="E905" s="96" t="s">
        <v>803</v>
      </c>
      <c r="F905" s="98" t="s">
        <v>728</v>
      </c>
      <c r="G905" s="88" t="s">
        <v>721</v>
      </c>
    </row>
    <row r="906" spans="1:11" s="77" customFormat="1" ht="15" hidden="1" customHeight="1">
      <c r="A906" s="83">
        <v>45902</v>
      </c>
      <c r="B906" s="77" t="s">
        <v>470</v>
      </c>
      <c r="C906" s="77" t="s">
        <v>717</v>
      </c>
      <c r="D906" s="86" t="s">
        <v>726</v>
      </c>
      <c r="E906" s="95" t="s">
        <v>727</v>
      </c>
      <c r="F906" s="98" t="s">
        <v>728</v>
      </c>
      <c r="G906" s="88" t="s">
        <v>721</v>
      </c>
    </row>
    <row r="907" spans="1:11" s="77" customFormat="1" ht="15" hidden="1" customHeight="1">
      <c r="A907" s="83">
        <v>45902</v>
      </c>
      <c r="B907" s="77" t="s">
        <v>470</v>
      </c>
      <c r="C907" s="77" t="s">
        <v>717</v>
      </c>
      <c r="D907" s="86" t="s">
        <v>726</v>
      </c>
      <c r="E907" s="96" t="s">
        <v>729</v>
      </c>
      <c r="F907" s="98" t="s">
        <v>728</v>
      </c>
      <c r="G907" s="88" t="s">
        <v>721</v>
      </c>
    </row>
    <row r="908" spans="1:11" s="77" customFormat="1" ht="15" hidden="1" customHeight="1">
      <c r="A908" s="83">
        <v>45902</v>
      </c>
      <c r="B908" s="77" t="s">
        <v>470</v>
      </c>
      <c r="C908" s="77" t="s">
        <v>717</v>
      </c>
      <c r="D908" s="86" t="s">
        <v>726</v>
      </c>
      <c r="E908" s="96" t="s">
        <v>730</v>
      </c>
      <c r="F908" s="98" t="s">
        <v>728</v>
      </c>
      <c r="G908" s="88" t="s">
        <v>721</v>
      </c>
    </row>
    <row r="909" spans="1:11" s="77" customFormat="1" ht="15" hidden="1" customHeight="1">
      <c r="A909" s="83">
        <v>45902</v>
      </c>
      <c r="B909" s="77" t="s">
        <v>470</v>
      </c>
      <c r="C909" s="77" t="s">
        <v>717</v>
      </c>
      <c r="D909" s="86" t="s">
        <v>726</v>
      </c>
      <c r="E909" s="96" t="s">
        <v>731</v>
      </c>
      <c r="F909" s="98" t="s">
        <v>728</v>
      </c>
      <c r="G909" s="88" t="s">
        <v>721</v>
      </c>
    </row>
    <row r="910" spans="1:11" s="77" customFormat="1" ht="15" hidden="1" customHeight="1">
      <c r="A910" s="83">
        <v>45902</v>
      </c>
      <c r="B910" s="77" t="s">
        <v>470</v>
      </c>
      <c r="C910" s="77" t="s">
        <v>717</v>
      </c>
      <c r="D910" s="86" t="s">
        <v>726</v>
      </c>
      <c r="E910" s="96" t="s">
        <v>732</v>
      </c>
      <c r="F910" s="98" t="s">
        <v>728</v>
      </c>
      <c r="G910" s="88" t="s">
        <v>721</v>
      </c>
    </row>
    <row r="911" spans="1:11" s="77" customFormat="1" ht="15" hidden="1" customHeight="1">
      <c r="A911" s="83">
        <v>45902</v>
      </c>
      <c r="B911" s="77" t="s">
        <v>470</v>
      </c>
      <c r="C911" s="77" t="s">
        <v>717</v>
      </c>
      <c r="D911" s="86" t="s">
        <v>726</v>
      </c>
      <c r="E911" s="96" t="s">
        <v>733</v>
      </c>
      <c r="F911" s="98" t="s">
        <v>728</v>
      </c>
      <c r="G911" s="88" t="s">
        <v>721</v>
      </c>
    </row>
    <row r="912" spans="1:11" ht="15" customHeight="1">
      <c r="A912" s="90">
        <v>45902</v>
      </c>
      <c r="B912" s="78" t="s">
        <v>470</v>
      </c>
      <c r="C912" s="78" t="s">
        <v>717</v>
      </c>
      <c r="D912" s="91" t="s">
        <v>726</v>
      </c>
      <c r="E912" s="78" t="s">
        <v>734</v>
      </c>
      <c r="F912" s="80" t="s">
        <v>838</v>
      </c>
      <c r="G912" s="94">
        <v>1854974</v>
      </c>
      <c r="H912" s="78" t="s">
        <v>354</v>
      </c>
      <c r="I912" s="78" t="s">
        <v>774</v>
      </c>
      <c r="J912" s="78" t="s">
        <v>725</v>
      </c>
      <c r="K912" s="78" t="s">
        <v>354</v>
      </c>
    </row>
    <row r="913" spans="1:7" s="77" customFormat="1" ht="15" hidden="1" customHeight="1">
      <c r="A913" s="83">
        <v>45902</v>
      </c>
      <c r="B913" s="77" t="s">
        <v>470</v>
      </c>
      <c r="C913" s="77" t="s">
        <v>717</v>
      </c>
      <c r="D913" s="86" t="s">
        <v>726</v>
      </c>
      <c r="E913" s="96" t="s">
        <v>735</v>
      </c>
      <c r="F913" s="98" t="s">
        <v>728</v>
      </c>
      <c r="G913" s="88" t="s">
        <v>721</v>
      </c>
    </row>
    <row r="914" spans="1:7" s="77" customFormat="1" ht="15" hidden="1" customHeight="1">
      <c r="A914" s="83">
        <v>45902</v>
      </c>
      <c r="B914" s="77" t="s">
        <v>470</v>
      </c>
      <c r="C914" s="77" t="s">
        <v>717</v>
      </c>
      <c r="D914" s="86" t="s">
        <v>736</v>
      </c>
      <c r="E914" s="96" t="s">
        <v>737</v>
      </c>
      <c r="F914" s="98" t="s">
        <v>728</v>
      </c>
      <c r="G914" s="88" t="s">
        <v>721</v>
      </c>
    </row>
    <row r="915" spans="1:7" s="77" customFormat="1" ht="15" hidden="1" customHeight="1">
      <c r="A915" s="83">
        <v>45902</v>
      </c>
      <c r="B915" s="77" t="s">
        <v>470</v>
      </c>
      <c r="C915" s="77" t="s">
        <v>717</v>
      </c>
      <c r="D915" s="86" t="s">
        <v>736</v>
      </c>
      <c r="E915" s="96" t="s">
        <v>738</v>
      </c>
      <c r="F915" s="98" t="s">
        <v>728</v>
      </c>
      <c r="G915" s="88" t="s">
        <v>721</v>
      </c>
    </row>
    <row r="916" spans="1:7" s="77" customFormat="1" ht="15" hidden="1" customHeight="1">
      <c r="A916" s="83">
        <v>45902</v>
      </c>
      <c r="B916" s="77" t="s">
        <v>470</v>
      </c>
      <c r="C916" s="77" t="s">
        <v>717</v>
      </c>
      <c r="D916" s="85" t="s">
        <v>739</v>
      </c>
      <c r="E916" s="96" t="s">
        <v>740</v>
      </c>
      <c r="F916" s="98" t="s">
        <v>728</v>
      </c>
      <c r="G916" s="88" t="s">
        <v>721</v>
      </c>
    </row>
    <row r="917" spans="1:7" s="77" customFormat="1" ht="15" hidden="1" customHeight="1">
      <c r="A917" s="83">
        <v>45902</v>
      </c>
      <c r="B917" s="77" t="s">
        <v>470</v>
      </c>
      <c r="C917" s="77" t="s">
        <v>717</v>
      </c>
      <c r="D917" s="85" t="s">
        <v>739</v>
      </c>
      <c r="E917" s="96" t="s">
        <v>741</v>
      </c>
      <c r="F917" s="98" t="s">
        <v>728</v>
      </c>
      <c r="G917" s="88" t="s">
        <v>721</v>
      </c>
    </row>
    <row r="918" spans="1:7" s="77" customFormat="1" ht="15" hidden="1" customHeight="1">
      <c r="A918" s="83">
        <v>45902</v>
      </c>
      <c r="B918" s="77" t="s">
        <v>470</v>
      </c>
      <c r="C918" s="77" t="s">
        <v>717</v>
      </c>
      <c r="D918" s="85" t="s">
        <v>739</v>
      </c>
      <c r="E918" s="96" t="s">
        <v>743</v>
      </c>
      <c r="F918" s="98" t="s">
        <v>728</v>
      </c>
      <c r="G918" s="88" t="s">
        <v>721</v>
      </c>
    </row>
    <row r="919" spans="1:7" s="77" customFormat="1" ht="15" hidden="1" customHeight="1">
      <c r="A919" s="83">
        <v>45902</v>
      </c>
      <c r="B919" s="77" t="s">
        <v>470</v>
      </c>
      <c r="C919" s="77" t="s">
        <v>717</v>
      </c>
      <c r="D919" s="85" t="s">
        <v>744</v>
      </c>
      <c r="E919" s="96" t="s">
        <v>745</v>
      </c>
      <c r="F919" s="98" t="s">
        <v>728</v>
      </c>
      <c r="G919" s="88" t="s">
        <v>721</v>
      </c>
    </row>
    <row r="920" spans="1:7" s="77" customFormat="1" ht="15" hidden="1" customHeight="1">
      <c r="A920" s="83">
        <v>45902</v>
      </c>
      <c r="B920" s="77" t="s">
        <v>470</v>
      </c>
      <c r="C920" s="77" t="s">
        <v>717</v>
      </c>
      <c r="D920" s="85" t="s">
        <v>744</v>
      </c>
      <c r="E920" s="96" t="s">
        <v>746</v>
      </c>
      <c r="F920" s="98" t="s">
        <v>728</v>
      </c>
      <c r="G920" s="88" t="s">
        <v>721</v>
      </c>
    </row>
    <row r="921" spans="1:7" s="77" customFormat="1" ht="15" hidden="1" customHeight="1">
      <c r="A921" s="83">
        <v>45902</v>
      </c>
      <c r="B921" s="77" t="s">
        <v>470</v>
      </c>
      <c r="C921" s="77" t="s">
        <v>717</v>
      </c>
      <c r="D921" s="85" t="s">
        <v>744</v>
      </c>
      <c r="E921" s="96" t="s">
        <v>747</v>
      </c>
      <c r="F921" s="87" t="s">
        <v>801</v>
      </c>
      <c r="G921" s="88" t="s">
        <v>721</v>
      </c>
    </row>
    <row r="922" spans="1:7" s="77" customFormat="1" ht="15" hidden="1" customHeight="1">
      <c r="A922" s="83">
        <v>45902</v>
      </c>
      <c r="B922" s="77" t="s">
        <v>470</v>
      </c>
      <c r="C922" s="77" t="s">
        <v>717</v>
      </c>
      <c r="D922" s="85" t="s">
        <v>744</v>
      </c>
      <c r="E922" s="96" t="s">
        <v>748</v>
      </c>
      <c r="F922" s="87" t="s">
        <v>801</v>
      </c>
      <c r="G922" s="88" t="s">
        <v>721</v>
      </c>
    </row>
    <row r="923" spans="1:7" s="77" customFormat="1" ht="15" hidden="1" customHeight="1">
      <c r="A923" s="83">
        <v>45902</v>
      </c>
      <c r="B923" s="77" t="s">
        <v>470</v>
      </c>
      <c r="C923" s="77" t="s">
        <v>717</v>
      </c>
      <c r="D923" s="85" t="s">
        <v>744</v>
      </c>
      <c r="E923" s="96" t="s">
        <v>749</v>
      </c>
      <c r="F923" s="87" t="s">
        <v>801</v>
      </c>
      <c r="G923" s="88" t="s">
        <v>721</v>
      </c>
    </row>
    <row r="924" spans="1:7" s="77" customFormat="1" ht="15" hidden="1" customHeight="1">
      <c r="A924" s="83">
        <v>45902</v>
      </c>
      <c r="B924" s="77" t="s">
        <v>470</v>
      </c>
      <c r="C924" s="77" t="s">
        <v>717</v>
      </c>
      <c r="D924" s="85" t="s">
        <v>750</v>
      </c>
      <c r="E924" s="96" t="s">
        <v>751</v>
      </c>
      <c r="F924" s="98" t="s">
        <v>728</v>
      </c>
      <c r="G924" s="88" t="s">
        <v>721</v>
      </c>
    </row>
    <row r="925" spans="1:7" s="77" customFormat="1" ht="15" hidden="1" customHeight="1">
      <c r="A925" s="83">
        <v>45902</v>
      </c>
      <c r="B925" s="77" t="s">
        <v>470</v>
      </c>
      <c r="C925" s="77" t="s">
        <v>717</v>
      </c>
      <c r="D925" s="85" t="s">
        <v>750</v>
      </c>
      <c r="E925" s="96" t="s">
        <v>752</v>
      </c>
      <c r="F925" s="98" t="s">
        <v>728</v>
      </c>
      <c r="G925" s="88" t="s">
        <v>721</v>
      </c>
    </row>
    <row r="926" spans="1:7" s="77" customFormat="1" ht="15" hidden="1" customHeight="1">
      <c r="A926" s="83">
        <v>45902</v>
      </c>
      <c r="B926" s="77" t="s">
        <v>470</v>
      </c>
      <c r="C926" s="77" t="s">
        <v>717</v>
      </c>
      <c r="D926" s="85" t="s">
        <v>750</v>
      </c>
      <c r="E926" s="96" t="s">
        <v>753</v>
      </c>
      <c r="F926" s="98" t="s">
        <v>728</v>
      </c>
      <c r="G926" s="88" t="s">
        <v>721</v>
      </c>
    </row>
    <row r="927" spans="1:7" s="77" customFormat="1" ht="15" hidden="1" customHeight="1">
      <c r="A927" s="83">
        <v>45902</v>
      </c>
      <c r="B927" s="77" t="s">
        <v>470</v>
      </c>
      <c r="C927" s="77" t="s">
        <v>717</v>
      </c>
      <c r="D927" s="85" t="s">
        <v>750</v>
      </c>
      <c r="E927" s="96" t="s">
        <v>754</v>
      </c>
      <c r="F927" s="98" t="s">
        <v>728</v>
      </c>
      <c r="G927" s="88" t="s">
        <v>721</v>
      </c>
    </row>
    <row r="928" spans="1:7" s="77" customFormat="1" ht="15" hidden="1" customHeight="1">
      <c r="A928" s="83">
        <v>45902</v>
      </c>
      <c r="B928" s="77" t="s">
        <v>470</v>
      </c>
      <c r="C928" s="77" t="s">
        <v>717</v>
      </c>
      <c r="D928" s="85" t="s">
        <v>755</v>
      </c>
      <c r="E928" s="86" t="s">
        <v>756</v>
      </c>
      <c r="F928" s="87" t="s">
        <v>802</v>
      </c>
      <c r="G928" s="88" t="s">
        <v>721</v>
      </c>
    </row>
    <row r="929" spans="1:7" s="77" customFormat="1" ht="15" hidden="1" customHeight="1">
      <c r="A929" s="83">
        <v>45902</v>
      </c>
      <c r="B929" s="77" t="s">
        <v>470</v>
      </c>
      <c r="C929" s="77" t="s">
        <v>717</v>
      </c>
      <c r="D929" s="85" t="s">
        <v>755</v>
      </c>
      <c r="E929" s="96" t="s">
        <v>757</v>
      </c>
      <c r="F929" s="87" t="s">
        <v>802</v>
      </c>
      <c r="G929" s="88" t="s">
        <v>721</v>
      </c>
    </row>
    <row r="930" spans="1:7" s="77" customFormat="1" ht="15" hidden="1" customHeight="1">
      <c r="A930" s="83">
        <v>45902</v>
      </c>
      <c r="B930" s="77" t="s">
        <v>470</v>
      </c>
      <c r="C930" s="77" t="s">
        <v>717</v>
      </c>
      <c r="D930" s="85" t="s">
        <v>758</v>
      </c>
      <c r="E930" s="96" t="s">
        <v>759</v>
      </c>
      <c r="F930" s="87" t="s">
        <v>728</v>
      </c>
      <c r="G930" s="88" t="s">
        <v>721</v>
      </c>
    </row>
    <row r="931" spans="1:7" s="77" customFormat="1" ht="15" hidden="1" customHeight="1">
      <c r="A931" s="83">
        <v>45902</v>
      </c>
      <c r="B931" s="77" t="s">
        <v>470</v>
      </c>
      <c r="C931" s="77" t="s">
        <v>717</v>
      </c>
      <c r="D931" s="85" t="s">
        <v>758</v>
      </c>
      <c r="E931" s="96" t="s">
        <v>760</v>
      </c>
      <c r="F931" s="87" t="s">
        <v>728</v>
      </c>
      <c r="G931" s="88" t="s">
        <v>721</v>
      </c>
    </row>
    <row r="932" spans="1:7" s="77" customFormat="1" ht="15" hidden="1" customHeight="1">
      <c r="A932" s="83">
        <v>45902</v>
      </c>
      <c r="B932" s="77" t="s">
        <v>470</v>
      </c>
      <c r="C932" s="77" t="s">
        <v>717</v>
      </c>
      <c r="D932" s="85" t="s">
        <v>758</v>
      </c>
      <c r="E932" s="96" t="s">
        <v>761</v>
      </c>
      <c r="F932" s="87" t="s">
        <v>728</v>
      </c>
      <c r="G932" s="88" t="s">
        <v>721</v>
      </c>
    </row>
    <row r="933" spans="1:7" s="77" customFormat="1" ht="15" hidden="1" customHeight="1">
      <c r="A933" s="83">
        <v>45902</v>
      </c>
      <c r="B933" s="77" t="s">
        <v>470</v>
      </c>
      <c r="C933" s="77" t="s">
        <v>717</v>
      </c>
      <c r="D933" s="85" t="s">
        <v>758</v>
      </c>
      <c r="E933" s="96" t="s">
        <v>762</v>
      </c>
      <c r="F933" s="87" t="s">
        <v>728</v>
      </c>
      <c r="G933" s="88" t="s">
        <v>721</v>
      </c>
    </row>
    <row r="934" spans="1:7" s="77" customFormat="1" ht="15" hidden="1" customHeight="1">
      <c r="A934" s="83">
        <v>45902</v>
      </c>
      <c r="B934" s="77" t="s">
        <v>470</v>
      </c>
      <c r="C934" s="77" t="s">
        <v>717</v>
      </c>
      <c r="D934" s="85" t="s">
        <v>758</v>
      </c>
      <c r="E934" s="96" t="s">
        <v>763</v>
      </c>
      <c r="F934" s="87" t="s">
        <v>728</v>
      </c>
      <c r="G934" s="88" t="s">
        <v>721</v>
      </c>
    </row>
    <row r="935" spans="1:7" s="77" customFormat="1" ht="15" hidden="1" customHeight="1">
      <c r="A935" s="83">
        <v>45902</v>
      </c>
      <c r="B935" s="77" t="s">
        <v>470</v>
      </c>
      <c r="C935" s="77" t="s">
        <v>717</v>
      </c>
      <c r="D935" s="85" t="s">
        <v>758</v>
      </c>
      <c r="E935" s="96" t="s">
        <v>764</v>
      </c>
      <c r="F935" s="87" t="s">
        <v>728</v>
      </c>
      <c r="G935" s="88" t="s">
        <v>721</v>
      </c>
    </row>
    <row r="936" spans="1:7" s="77" customFormat="1" ht="15" hidden="1" customHeight="1">
      <c r="A936" s="83">
        <v>45902</v>
      </c>
      <c r="B936" s="77" t="s">
        <v>470</v>
      </c>
      <c r="C936" s="77" t="s">
        <v>717</v>
      </c>
      <c r="D936" s="85" t="s">
        <v>718</v>
      </c>
      <c r="E936" s="96" t="s">
        <v>719</v>
      </c>
      <c r="F936" s="87" t="s">
        <v>728</v>
      </c>
      <c r="G936" s="88" t="s">
        <v>721</v>
      </c>
    </row>
    <row r="937" spans="1:7" s="77" customFormat="1" ht="15" hidden="1" customHeight="1">
      <c r="A937" s="83">
        <v>45902</v>
      </c>
      <c r="B937" s="77" t="s">
        <v>470</v>
      </c>
      <c r="C937" s="77" t="s">
        <v>717</v>
      </c>
      <c r="D937" s="85" t="s">
        <v>718</v>
      </c>
      <c r="E937" s="86" t="s">
        <v>765</v>
      </c>
      <c r="F937" s="87" t="s">
        <v>728</v>
      </c>
      <c r="G937" s="88" t="s">
        <v>721</v>
      </c>
    </row>
    <row r="938" spans="1:7" s="77" customFormat="1" ht="15" hidden="1" customHeight="1">
      <c r="A938" s="83">
        <v>45902</v>
      </c>
      <c r="B938" s="77" t="s">
        <v>470</v>
      </c>
      <c r="C938" s="77" t="s">
        <v>717</v>
      </c>
      <c r="D938" s="85" t="s">
        <v>718</v>
      </c>
      <c r="E938" s="86" t="s">
        <v>766</v>
      </c>
      <c r="F938" s="87" t="s">
        <v>728</v>
      </c>
      <c r="G938" s="88" t="s">
        <v>721</v>
      </c>
    </row>
    <row r="939" spans="1:7" s="77" customFormat="1" ht="15" hidden="1" customHeight="1">
      <c r="A939" s="83">
        <v>45902</v>
      </c>
      <c r="B939" s="77" t="s">
        <v>470</v>
      </c>
      <c r="C939" s="77" t="s">
        <v>717</v>
      </c>
      <c r="D939" s="85" t="s">
        <v>718</v>
      </c>
      <c r="E939" s="86" t="s">
        <v>767</v>
      </c>
      <c r="F939" s="87" t="s">
        <v>728</v>
      </c>
      <c r="G939" s="88" t="s">
        <v>721</v>
      </c>
    </row>
    <row r="940" spans="1:7" s="77" customFormat="1" ht="15" hidden="1" customHeight="1">
      <c r="A940" s="83">
        <v>45902</v>
      </c>
      <c r="B940" s="77" t="s">
        <v>470</v>
      </c>
      <c r="C940" s="77" t="s">
        <v>717</v>
      </c>
      <c r="D940" s="85" t="s">
        <v>718</v>
      </c>
      <c r="E940" s="86" t="s">
        <v>768</v>
      </c>
      <c r="F940" s="87" t="s">
        <v>728</v>
      </c>
      <c r="G940" s="88" t="s">
        <v>721</v>
      </c>
    </row>
    <row r="941" spans="1:7" s="77" customFormat="1" ht="15" hidden="1" customHeight="1">
      <c r="A941" s="83">
        <v>45902</v>
      </c>
      <c r="B941" s="77" t="s">
        <v>470</v>
      </c>
      <c r="C941" s="77" t="s">
        <v>717</v>
      </c>
      <c r="D941" s="85" t="s">
        <v>718</v>
      </c>
      <c r="E941" s="86" t="s">
        <v>769</v>
      </c>
      <c r="F941" s="87" t="s">
        <v>728</v>
      </c>
      <c r="G941" s="88" t="s">
        <v>721</v>
      </c>
    </row>
    <row r="942" spans="1:7" s="77" customFormat="1" ht="15" hidden="1" customHeight="1">
      <c r="A942" s="83">
        <v>45902</v>
      </c>
      <c r="B942" s="77" t="s">
        <v>470</v>
      </c>
      <c r="C942" s="77" t="s">
        <v>717</v>
      </c>
      <c r="D942" s="85" t="s">
        <v>718</v>
      </c>
      <c r="E942" s="86" t="s">
        <v>770</v>
      </c>
      <c r="F942" s="87" t="s">
        <v>728</v>
      </c>
      <c r="G942" s="88" t="s">
        <v>721</v>
      </c>
    </row>
    <row r="943" spans="1:7" s="77" customFormat="1" ht="15" hidden="1" customHeight="1">
      <c r="A943" s="83">
        <v>45902</v>
      </c>
      <c r="B943" s="77" t="s">
        <v>470</v>
      </c>
      <c r="C943" s="77" t="s">
        <v>717</v>
      </c>
      <c r="D943" s="85" t="s">
        <v>718</v>
      </c>
      <c r="E943" s="86" t="s">
        <v>771</v>
      </c>
      <c r="F943" s="87" t="s">
        <v>728</v>
      </c>
      <c r="G943" s="88" t="s">
        <v>721</v>
      </c>
    </row>
    <row r="944" spans="1:7" s="77" customFormat="1" ht="15" hidden="1" customHeight="1">
      <c r="A944" s="83">
        <v>45902</v>
      </c>
      <c r="B944" s="77" t="s">
        <v>470</v>
      </c>
      <c r="C944" s="77" t="s">
        <v>717</v>
      </c>
      <c r="D944" s="85" t="s">
        <v>718</v>
      </c>
      <c r="E944" s="86" t="s">
        <v>772</v>
      </c>
      <c r="F944" s="87" t="s">
        <v>728</v>
      </c>
      <c r="G944" s="88" t="s">
        <v>721</v>
      </c>
    </row>
    <row r="945" spans="1:11" s="77" customFormat="1" ht="15" hidden="1" customHeight="1">
      <c r="A945" s="83">
        <v>45902</v>
      </c>
      <c r="B945" s="77" t="s">
        <v>470</v>
      </c>
      <c r="C945" s="77" t="s">
        <v>717</v>
      </c>
      <c r="D945" s="85" t="s">
        <v>718</v>
      </c>
      <c r="E945" s="96" t="s">
        <v>803</v>
      </c>
      <c r="F945" s="87" t="s">
        <v>728</v>
      </c>
      <c r="G945" s="88" t="s">
        <v>721</v>
      </c>
    </row>
    <row r="946" spans="1:11" s="77" customFormat="1" ht="15" hidden="1" customHeight="1">
      <c r="A946" s="83">
        <v>45904</v>
      </c>
      <c r="B946" s="77" t="s">
        <v>359</v>
      </c>
      <c r="C946" s="77" t="s">
        <v>717</v>
      </c>
      <c r="D946" s="86" t="s">
        <v>726</v>
      </c>
      <c r="E946" s="95" t="s">
        <v>727</v>
      </c>
      <c r="F946" s="87" t="s">
        <v>728</v>
      </c>
      <c r="G946" s="88" t="s">
        <v>721</v>
      </c>
    </row>
    <row r="947" spans="1:11" ht="15" customHeight="1">
      <c r="A947" s="90">
        <v>45904</v>
      </c>
      <c r="B947" s="78" t="s">
        <v>359</v>
      </c>
      <c r="C947" s="78" t="s">
        <v>717</v>
      </c>
      <c r="D947" s="91" t="s">
        <v>726</v>
      </c>
      <c r="E947" s="78" t="s">
        <v>729</v>
      </c>
      <c r="F947" s="80" t="s">
        <v>839</v>
      </c>
      <c r="G947" s="94">
        <v>1856134</v>
      </c>
      <c r="H947" s="78" t="s">
        <v>354</v>
      </c>
      <c r="I947" s="78" t="s">
        <v>774</v>
      </c>
      <c r="J947" s="78" t="s">
        <v>840</v>
      </c>
      <c r="K947" s="78" t="s">
        <v>354</v>
      </c>
    </row>
    <row r="948" spans="1:11" s="77" customFormat="1" ht="15" hidden="1" customHeight="1">
      <c r="A948" s="83">
        <v>45904</v>
      </c>
      <c r="B948" s="77" t="s">
        <v>359</v>
      </c>
      <c r="C948" s="77" t="s">
        <v>717</v>
      </c>
      <c r="D948" s="86" t="s">
        <v>726</v>
      </c>
      <c r="E948" s="96" t="s">
        <v>730</v>
      </c>
      <c r="F948" s="87" t="s">
        <v>728</v>
      </c>
      <c r="G948" s="88" t="s">
        <v>721</v>
      </c>
    </row>
    <row r="949" spans="1:11" s="77" customFormat="1" ht="15" hidden="1" customHeight="1">
      <c r="A949" s="83">
        <v>45904</v>
      </c>
      <c r="B949" s="77" t="s">
        <v>359</v>
      </c>
      <c r="C949" s="77" t="s">
        <v>717</v>
      </c>
      <c r="D949" s="86" t="s">
        <v>726</v>
      </c>
      <c r="E949" s="96" t="s">
        <v>731</v>
      </c>
      <c r="F949" s="87" t="s">
        <v>728</v>
      </c>
      <c r="G949" s="88" t="s">
        <v>721</v>
      </c>
    </row>
    <row r="950" spans="1:11" s="77" customFormat="1" ht="15" hidden="1" customHeight="1">
      <c r="A950" s="83">
        <v>45904</v>
      </c>
      <c r="B950" s="77" t="s">
        <v>359</v>
      </c>
      <c r="C950" s="77" t="s">
        <v>717</v>
      </c>
      <c r="D950" s="86" t="s">
        <v>726</v>
      </c>
      <c r="E950" s="96" t="s">
        <v>732</v>
      </c>
      <c r="F950" s="87" t="s">
        <v>728</v>
      </c>
      <c r="G950" s="88" t="s">
        <v>721</v>
      </c>
    </row>
    <row r="951" spans="1:11" s="77" customFormat="1" ht="15" hidden="1" customHeight="1">
      <c r="A951" s="83">
        <v>45904</v>
      </c>
      <c r="B951" s="77" t="s">
        <v>359</v>
      </c>
      <c r="C951" s="77" t="s">
        <v>717</v>
      </c>
      <c r="D951" s="86" t="s">
        <v>726</v>
      </c>
      <c r="E951" s="96" t="s">
        <v>733</v>
      </c>
      <c r="F951" s="87" t="s">
        <v>728</v>
      </c>
      <c r="G951" s="88" t="s">
        <v>721</v>
      </c>
    </row>
    <row r="952" spans="1:11" s="77" customFormat="1" ht="15" hidden="1" customHeight="1">
      <c r="A952" s="83">
        <v>45904</v>
      </c>
      <c r="B952" s="77" t="s">
        <v>359</v>
      </c>
      <c r="C952" s="77" t="s">
        <v>717</v>
      </c>
      <c r="D952" s="86" t="s">
        <v>726</v>
      </c>
      <c r="E952" s="96" t="s">
        <v>734</v>
      </c>
      <c r="F952" s="87" t="s">
        <v>728</v>
      </c>
      <c r="G952" s="88" t="s">
        <v>721</v>
      </c>
    </row>
    <row r="953" spans="1:11" s="77" customFormat="1" ht="15" hidden="1" customHeight="1">
      <c r="A953" s="83">
        <v>45904</v>
      </c>
      <c r="B953" s="77" t="s">
        <v>359</v>
      </c>
      <c r="C953" s="77" t="s">
        <v>717</v>
      </c>
      <c r="D953" s="86" t="s">
        <v>726</v>
      </c>
      <c r="E953" s="96" t="s">
        <v>735</v>
      </c>
      <c r="F953" s="87" t="s">
        <v>728</v>
      </c>
      <c r="G953" s="88" t="s">
        <v>721</v>
      </c>
    </row>
    <row r="954" spans="1:11" s="77" customFormat="1" ht="15" hidden="1" customHeight="1">
      <c r="A954" s="83">
        <v>45904</v>
      </c>
      <c r="B954" s="77" t="s">
        <v>359</v>
      </c>
      <c r="C954" s="77" t="s">
        <v>717</v>
      </c>
      <c r="D954" s="86" t="s">
        <v>736</v>
      </c>
      <c r="E954" s="96" t="s">
        <v>737</v>
      </c>
      <c r="F954" s="87" t="s">
        <v>728</v>
      </c>
      <c r="G954" s="88" t="s">
        <v>721</v>
      </c>
    </row>
    <row r="955" spans="1:11" s="77" customFormat="1" ht="15" hidden="1" customHeight="1">
      <c r="A955" s="83">
        <v>45904</v>
      </c>
      <c r="B955" s="77" t="s">
        <v>359</v>
      </c>
      <c r="C955" s="77" t="s">
        <v>717</v>
      </c>
      <c r="D955" s="86" t="s">
        <v>736</v>
      </c>
      <c r="E955" s="96" t="s">
        <v>738</v>
      </c>
      <c r="F955" s="87" t="s">
        <v>728</v>
      </c>
      <c r="G955" s="88" t="s">
        <v>721</v>
      </c>
    </row>
    <row r="956" spans="1:11" s="77" customFormat="1" ht="15" hidden="1" customHeight="1">
      <c r="A956" s="83">
        <v>45904</v>
      </c>
      <c r="B956" s="77" t="s">
        <v>359</v>
      </c>
      <c r="C956" s="77" t="s">
        <v>717</v>
      </c>
      <c r="D956" s="85" t="s">
        <v>739</v>
      </c>
      <c r="E956" s="96" t="s">
        <v>740</v>
      </c>
      <c r="F956" s="87" t="s">
        <v>728</v>
      </c>
      <c r="G956" s="88" t="s">
        <v>721</v>
      </c>
    </row>
    <row r="957" spans="1:11" s="77" customFormat="1" ht="15" hidden="1" customHeight="1">
      <c r="A957" s="83">
        <v>45904</v>
      </c>
      <c r="B957" s="77" t="s">
        <v>359</v>
      </c>
      <c r="C957" s="77" t="s">
        <v>717</v>
      </c>
      <c r="D957" s="85" t="s">
        <v>739</v>
      </c>
      <c r="E957" s="96" t="s">
        <v>741</v>
      </c>
      <c r="F957" s="87" t="s">
        <v>728</v>
      </c>
      <c r="G957" s="88" t="s">
        <v>721</v>
      </c>
    </row>
    <row r="958" spans="1:11" s="77" customFormat="1" ht="15" hidden="1" customHeight="1">
      <c r="A958" s="83">
        <v>45904</v>
      </c>
      <c r="B958" s="77" t="s">
        <v>359</v>
      </c>
      <c r="C958" s="77" t="s">
        <v>717</v>
      </c>
      <c r="D958" s="85" t="s">
        <v>739</v>
      </c>
      <c r="E958" s="96" t="s">
        <v>743</v>
      </c>
      <c r="F958" s="87" t="s">
        <v>728</v>
      </c>
      <c r="G958" s="88" t="s">
        <v>721</v>
      </c>
    </row>
    <row r="959" spans="1:11" s="77" customFormat="1" ht="15" hidden="1" customHeight="1">
      <c r="A959" s="83">
        <v>45904</v>
      </c>
      <c r="B959" s="77" t="s">
        <v>359</v>
      </c>
      <c r="C959" s="77" t="s">
        <v>717</v>
      </c>
      <c r="D959" s="85" t="s">
        <v>744</v>
      </c>
      <c r="E959" s="96" t="s">
        <v>745</v>
      </c>
      <c r="F959" s="87" t="s">
        <v>728</v>
      </c>
      <c r="G959" s="88" t="s">
        <v>721</v>
      </c>
    </row>
    <row r="960" spans="1:11" s="77" customFormat="1" ht="15" hidden="1" customHeight="1">
      <c r="A960" s="83">
        <v>45904</v>
      </c>
      <c r="B960" s="77" t="s">
        <v>359</v>
      </c>
      <c r="C960" s="77" t="s">
        <v>717</v>
      </c>
      <c r="D960" s="85" t="s">
        <v>744</v>
      </c>
      <c r="E960" s="96" t="s">
        <v>746</v>
      </c>
      <c r="F960" s="87" t="s">
        <v>728</v>
      </c>
      <c r="G960" s="88" t="s">
        <v>721</v>
      </c>
    </row>
    <row r="961" spans="1:11" s="77" customFormat="1" ht="15" hidden="1" customHeight="1">
      <c r="A961" s="83">
        <v>45904</v>
      </c>
      <c r="B961" s="77" t="s">
        <v>359</v>
      </c>
      <c r="C961" s="77" t="s">
        <v>717</v>
      </c>
      <c r="D961" s="85" t="s">
        <v>744</v>
      </c>
      <c r="E961" s="96" t="s">
        <v>747</v>
      </c>
      <c r="F961" s="87" t="s">
        <v>801</v>
      </c>
      <c r="G961" s="88" t="s">
        <v>721</v>
      </c>
    </row>
    <row r="962" spans="1:11" s="77" customFormat="1" ht="15" hidden="1" customHeight="1">
      <c r="A962" s="83">
        <v>45904</v>
      </c>
      <c r="B962" s="77" t="s">
        <v>359</v>
      </c>
      <c r="C962" s="77" t="s">
        <v>717</v>
      </c>
      <c r="D962" s="85" t="s">
        <v>744</v>
      </c>
      <c r="E962" s="96" t="s">
        <v>748</v>
      </c>
      <c r="F962" s="87" t="s">
        <v>728</v>
      </c>
      <c r="G962" s="88" t="s">
        <v>721</v>
      </c>
    </row>
    <row r="963" spans="1:11" s="77" customFormat="1" ht="15" hidden="1" customHeight="1">
      <c r="A963" s="83">
        <v>45904</v>
      </c>
      <c r="B963" s="77" t="s">
        <v>359</v>
      </c>
      <c r="C963" s="77" t="s">
        <v>717</v>
      </c>
      <c r="D963" s="85" t="s">
        <v>744</v>
      </c>
      <c r="E963" s="96" t="s">
        <v>749</v>
      </c>
      <c r="F963" s="87" t="s">
        <v>728</v>
      </c>
      <c r="G963" s="88" t="s">
        <v>721</v>
      </c>
    </row>
    <row r="964" spans="1:11" ht="15" customHeight="1">
      <c r="A964" s="90">
        <v>45904</v>
      </c>
      <c r="B964" s="78" t="s">
        <v>359</v>
      </c>
      <c r="C964" s="78" t="s">
        <v>717</v>
      </c>
      <c r="D964" s="92" t="s">
        <v>750</v>
      </c>
      <c r="E964" s="78" t="s">
        <v>751</v>
      </c>
      <c r="F964" s="80" t="s">
        <v>841</v>
      </c>
      <c r="G964" s="94">
        <v>1856134</v>
      </c>
      <c r="H964" s="78" t="s">
        <v>354</v>
      </c>
      <c r="I964" s="78" t="s">
        <v>774</v>
      </c>
      <c r="J964" s="78" t="s">
        <v>840</v>
      </c>
      <c r="K964" s="78" t="s">
        <v>354</v>
      </c>
    </row>
    <row r="965" spans="1:11" s="77" customFormat="1" ht="15" hidden="1" customHeight="1">
      <c r="A965" s="83">
        <v>45904</v>
      </c>
      <c r="B965" s="77" t="s">
        <v>359</v>
      </c>
      <c r="C965" s="77" t="s">
        <v>717</v>
      </c>
      <c r="D965" s="85" t="s">
        <v>750</v>
      </c>
      <c r="E965" s="96" t="s">
        <v>752</v>
      </c>
      <c r="F965" s="87" t="s">
        <v>728</v>
      </c>
      <c r="G965" s="88" t="s">
        <v>721</v>
      </c>
    </row>
    <row r="966" spans="1:11" s="77" customFormat="1" ht="15" hidden="1" customHeight="1">
      <c r="A966" s="83">
        <v>45904</v>
      </c>
      <c r="B966" s="77" t="s">
        <v>359</v>
      </c>
      <c r="C966" s="77" t="s">
        <v>717</v>
      </c>
      <c r="D966" s="85" t="s">
        <v>750</v>
      </c>
      <c r="E966" s="96" t="s">
        <v>753</v>
      </c>
      <c r="F966" s="87" t="s">
        <v>728</v>
      </c>
      <c r="G966" s="88" t="s">
        <v>721</v>
      </c>
    </row>
    <row r="967" spans="1:11" s="77" customFormat="1" ht="15" hidden="1" customHeight="1">
      <c r="A967" s="83">
        <v>45904</v>
      </c>
      <c r="B967" s="77" t="s">
        <v>359</v>
      </c>
      <c r="C967" s="77" t="s">
        <v>717</v>
      </c>
      <c r="D967" s="85" t="s">
        <v>750</v>
      </c>
      <c r="E967" s="96" t="s">
        <v>754</v>
      </c>
      <c r="F967" s="87" t="s">
        <v>728</v>
      </c>
      <c r="G967" s="88" t="s">
        <v>721</v>
      </c>
    </row>
    <row r="968" spans="1:11" s="77" customFormat="1" ht="15" hidden="1" customHeight="1">
      <c r="A968" s="83">
        <v>45904</v>
      </c>
      <c r="B968" s="77" t="s">
        <v>359</v>
      </c>
      <c r="C968" s="77" t="s">
        <v>717</v>
      </c>
      <c r="D968" s="85" t="s">
        <v>755</v>
      </c>
      <c r="E968" s="86" t="s">
        <v>756</v>
      </c>
      <c r="F968" s="87" t="s">
        <v>802</v>
      </c>
      <c r="G968" s="88" t="s">
        <v>721</v>
      </c>
    </row>
    <row r="969" spans="1:11" s="77" customFormat="1" ht="15" hidden="1" customHeight="1">
      <c r="A969" s="83">
        <v>45904</v>
      </c>
      <c r="B969" s="77" t="s">
        <v>359</v>
      </c>
      <c r="C969" s="77" t="s">
        <v>717</v>
      </c>
      <c r="D969" s="85" t="s">
        <v>755</v>
      </c>
      <c r="E969" s="96" t="s">
        <v>757</v>
      </c>
      <c r="F969" s="87" t="s">
        <v>802</v>
      </c>
      <c r="G969" s="88" t="s">
        <v>721</v>
      </c>
    </row>
    <row r="970" spans="1:11" s="77" customFormat="1" ht="15" hidden="1" customHeight="1">
      <c r="A970" s="83">
        <v>45904</v>
      </c>
      <c r="B970" s="77" t="s">
        <v>359</v>
      </c>
      <c r="C970" s="77" t="s">
        <v>717</v>
      </c>
      <c r="D970" s="85" t="s">
        <v>758</v>
      </c>
      <c r="E970" s="96" t="s">
        <v>759</v>
      </c>
      <c r="F970" s="87" t="s">
        <v>728</v>
      </c>
      <c r="G970" s="88" t="s">
        <v>721</v>
      </c>
    </row>
    <row r="971" spans="1:11" s="77" customFormat="1" ht="15" hidden="1" customHeight="1">
      <c r="A971" s="83">
        <v>45904</v>
      </c>
      <c r="B971" s="77" t="s">
        <v>359</v>
      </c>
      <c r="C971" s="77" t="s">
        <v>717</v>
      </c>
      <c r="D971" s="85" t="s">
        <v>758</v>
      </c>
      <c r="E971" s="96" t="s">
        <v>760</v>
      </c>
      <c r="F971" s="87" t="s">
        <v>728</v>
      </c>
      <c r="G971" s="88" t="s">
        <v>721</v>
      </c>
    </row>
    <row r="972" spans="1:11" s="77" customFormat="1" ht="15" hidden="1" customHeight="1">
      <c r="A972" s="83">
        <v>45904</v>
      </c>
      <c r="B972" s="77" t="s">
        <v>359</v>
      </c>
      <c r="C972" s="77" t="s">
        <v>717</v>
      </c>
      <c r="D972" s="85" t="s">
        <v>758</v>
      </c>
      <c r="E972" s="96" t="s">
        <v>761</v>
      </c>
      <c r="F972" s="87" t="s">
        <v>728</v>
      </c>
      <c r="G972" s="88" t="s">
        <v>721</v>
      </c>
    </row>
    <row r="973" spans="1:11" s="77" customFormat="1" ht="15" hidden="1" customHeight="1">
      <c r="A973" s="83">
        <v>45904</v>
      </c>
      <c r="B973" s="77" t="s">
        <v>359</v>
      </c>
      <c r="C973" s="77" t="s">
        <v>717</v>
      </c>
      <c r="D973" s="85" t="s">
        <v>758</v>
      </c>
      <c r="E973" s="96" t="s">
        <v>762</v>
      </c>
      <c r="F973" s="87" t="s">
        <v>728</v>
      </c>
      <c r="G973" s="88" t="s">
        <v>721</v>
      </c>
    </row>
    <row r="974" spans="1:11" s="77" customFormat="1" ht="15" hidden="1" customHeight="1">
      <c r="A974" s="83">
        <v>45904</v>
      </c>
      <c r="B974" s="77" t="s">
        <v>359</v>
      </c>
      <c r="C974" s="77" t="s">
        <v>717</v>
      </c>
      <c r="D974" s="85" t="s">
        <v>758</v>
      </c>
      <c r="E974" s="96" t="s">
        <v>763</v>
      </c>
      <c r="F974" s="87" t="s">
        <v>728</v>
      </c>
      <c r="G974" s="88" t="s">
        <v>721</v>
      </c>
    </row>
    <row r="975" spans="1:11" s="77" customFormat="1" ht="15" hidden="1" customHeight="1">
      <c r="A975" s="83">
        <v>45904</v>
      </c>
      <c r="B975" s="77" t="s">
        <v>359</v>
      </c>
      <c r="C975" s="77" t="s">
        <v>717</v>
      </c>
      <c r="D975" s="85" t="s">
        <v>758</v>
      </c>
      <c r="E975" s="96" t="s">
        <v>764</v>
      </c>
      <c r="F975" s="87" t="s">
        <v>728</v>
      </c>
      <c r="G975" s="88" t="s">
        <v>721</v>
      </c>
    </row>
    <row r="976" spans="1:11" s="77" customFormat="1" ht="15" hidden="1" customHeight="1">
      <c r="A976" s="83">
        <v>45904</v>
      </c>
      <c r="B976" s="77" t="s">
        <v>359</v>
      </c>
      <c r="C976" s="77" t="s">
        <v>717</v>
      </c>
      <c r="D976" s="85" t="s">
        <v>718</v>
      </c>
      <c r="E976" s="96" t="s">
        <v>719</v>
      </c>
      <c r="F976" s="104">
        <v>45931</v>
      </c>
      <c r="G976" s="88" t="s">
        <v>721</v>
      </c>
    </row>
    <row r="977" spans="1:11" s="77" customFormat="1" ht="15" hidden="1" customHeight="1">
      <c r="A977" s="83">
        <v>45904</v>
      </c>
      <c r="B977" s="77" t="s">
        <v>359</v>
      </c>
      <c r="C977" s="77" t="s">
        <v>717</v>
      </c>
      <c r="D977" s="85" t="s">
        <v>718</v>
      </c>
      <c r="E977" s="86" t="s">
        <v>765</v>
      </c>
      <c r="F977" s="87" t="s">
        <v>728</v>
      </c>
      <c r="G977" s="88" t="s">
        <v>721</v>
      </c>
    </row>
    <row r="978" spans="1:11" s="77" customFormat="1" ht="15" hidden="1" customHeight="1">
      <c r="A978" s="83">
        <v>45904</v>
      </c>
      <c r="B978" s="77" t="s">
        <v>359</v>
      </c>
      <c r="C978" s="77" t="s">
        <v>717</v>
      </c>
      <c r="D978" s="85" t="s">
        <v>718</v>
      </c>
      <c r="E978" s="86" t="s">
        <v>766</v>
      </c>
      <c r="F978" s="87" t="s">
        <v>728</v>
      </c>
      <c r="G978" s="88" t="s">
        <v>721</v>
      </c>
    </row>
    <row r="979" spans="1:11" s="77" customFormat="1" ht="15" hidden="1" customHeight="1">
      <c r="A979" s="83">
        <v>45904</v>
      </c>
      <c r="B979" s="77" t="s">
        <v>359</v>
      </c>
      <c r="C979" s="77" t="s">
        <v>717</v>
      </c>
      <c r="D979" s="85" t="s">
        <v>718</v>
      </c>
      <c r="E979" s="86" t="s">
        <v>767</v>
      </c>
      <c r="F979" s="87" t="s">
        <v>728</v>
      </c>
      <c r="G979" s="88" t="s">
        <v>721</v>
      </c>
    </row>
    <row r="980" spans="1:11" s="77" customFormat="1" ht="15" hidden="1" customHeight="1">
      <c r="A980" s="83">
        <v>45904</v>
      </c>
      <c r="B980" s="77" t="s">
        <v>359</v>
      </c>
      <c r="C980" s="77" t="s">
        <v>717</v>
      </c>
      <c r="D980" s="85" t="s">
        <v>718</v>
      </c>
      <c r="E980" s="86" t="s">
        <v>768</v>
      </c>
      <c r="F980" s="87" t="s">
        <v>728</v>
      </c>
      <c r="G980" s="88" t="s">
        <v>721</v>
      </c>
    </row>
    <row r="981" spans="1:11" s="77" customFormat="1" ht="15" hidden="1" customHeight="1">
      <c r="A981" s="83">
        <v>45904</v>
      </c>
      <c r="B981" s="77" t="s">
        <v>359</v>
      </c>
      <c r="C981" s="77" t="s">
        <v>717</v>
      </c>
      <c r="D981" s="85" t="s">
        <v>718</v>
      </c>
      <c r="E981" s="86" t="s">
        <v>769</v>
      </c>
      <c r="F981" s="87" t="s">
        <v>728</v>
      </c>
      <c r="G981" s="88" t="s">
        <v>721</v>
      </c>
    </row>
    <row r="982" spans="1:11" s="77" customFormat="1" ht="15" hidden="1" customHeight="1">
      <c r="A982" s="83">
        <v>45904</v>
      </c>
      <c r="B982" s="77" t="s">
        <v>359</v>
      </c>
      <c r="C982" s="77" t="s">
        <v>717</v>
      </c>
      <c r="D982" s="85" t="s">
        <v>718</v>
      </c>
      <c r="E982" s="86" t="s">
        <v>770</v>
      </c>
      <c r="F982" s="87" t="s">
        <v>728</v>
      </c>
      <c r="G982" s="88" t="s">
        <v>721</v>
      </c>
    </row>
    <row r="983" spans="1:11" s="77" customFormat="1" ht="15" hidden="1" customHeight="1">
      <c r="A983" s="83">
        <v>45904</v>
      </c>
      <c r="B983" s="77" t="s">
        <v>359</v>
      </c>
      <c r="C983" s="77" t="s">
        <v>717</v>
      </c>
      <c r="D983" s="85" t="s">
        <v>718</v>
      </c>
      <c r="E983" s="86" t="s">
        <v>771</v>
      </c>
      <c r="F983" s="87" t="s">
        <v>728</v>
      </c>
      <c r="G983" s="88" t="s">
        <v>721</v>
      </c>
    </row>
    <row r="984" spans="1:11" s="77" customFormat="1" ht="15" hidden="1" customHeight="1">
      <c r="A984" s="83">
        <v>45904</v>
      </c>
      <c r="B984" s="77" t="s">
        <v>359</v>
      </c>
      <c r="C984" s="77" t="s">
        <v>717</v>
      </c>
      <c r="D984" s="85" t="s">
        <v>718</v>
      </c>
      <c r="E984" s="86" t="s">
        <v>772</v>
      </c>
      <c r="F984" s="87" t="s">
        <v>728</v>
      </c>
      <c r="G984" s="88" t="s">
        <v>721</v>
      </c>
    </row>
    <row r="985" spans="1:11" s="77" customFormat="1" ht="15" hidden="1" customHeight="1">
      <c r="A985" s="83">
        <v>45904</v>
      </c>
      <c r="B985" s="77" t="s">
        <v>359</v>
      </c>
      <c r="C985" s="77" t="s">
        <v>717</v>
      </c>
      <c r="D985" s="85" t="s">
        <v>718</v>
      </c>
      <c r="E985" s="96" t="s">
        <v>803</v>
      </c>
      <c r="F985" s="87" t="s">
        <v>728</v>
      </c>
      <c r="G985" s="88" t="s">
        <v>721</v>
      </c>
    </row>
    <row r="986" spans="1:11" ht="15" customHeight="1">
      <c r="A986" s="90">
        <v>45902</v>
      </c>
      <c r="B986" s="78" t="s">
        <v>842</v>
      </c>
      <c r="C986" s="78" t="s">
        <v>717</v>
      </c>
      <c r="D986" s="91" t="s">
        <v>726</v>
      </c>
      <c r="E986" s="100" t="s">
        <v>727</v>
      </c>
      <c r="F986" s="80" t="s">
        <v>843</v>
      </c>
      <c r="G986" s="94">
        <v>1856138</v>
      </c>
      <c r="H986" s="78" t="s">
        <v>354</v>
      </c>
      <c r="I986" s="78" t="s">
        <v>774</v>
      </c>
      <c r="J986" s="78" t="s">
        <v>840</v>
      </c>
      <c r="K986" s="78" t="s">
        <v>354</v>
      </c>
    </row>
    <row r="987" spans="1:11" s="77" customFormat="1" ht="15" hidden="1" customHeight="1">
      <c r="A987" s="83">
        <v>45902</v>
      </c>
      <c r="B987" s="77" t="s">
        <v>842</v>
      </c>
      <c r="C987" s="77" t="s">
        <v>717</v>
      </c>
      <c r="D987" s="86" t="s">
        <v>726</v>
      </c>
      <c r="E987" s="96" t="s">
        <v>729</v>
      </c>
      <c r="F987" s="87" t="s">
        <v>728</v>
      </c>
      <c r="G987" s="88" t="s">
        <v>721</v>
      </c>
    </row>
    <row r="988" spans="1:11" s="77" customFormat="1" ht="15" hidden="1" customHeight="1">
      <c r="A988" s="83">
        <v>45902</v>
      </c>
      <c r="B988" s="77" t="s">
        <v>842</v>
      </c>
      <c r="C988" s="77" t="s">
        <v>717</v>
      </c>
      <c r="D988" s="86" t="s">
        <v>726</v>
      </c>
      <c r="E988" s="96" t="s">
        <v>730</v>
      </c>
      <c r="F988" s="87" t="s">
        <v>728</v>
      </c>
      <c r="G988" s="88" t="s">
        <v>721</v>
      </c>
    </row>
    <row r="989" spans="1:11" s="77" customFormat="1" ht="15" hidden="1" customHeight="1">
      <c r="A989" s="83">
        <v>45902</v>
      </c>
      <c r="B989" s="77" t="s">
        <v>842</v>
      </c>
      <c r="C989" s="77" t="s">
        <v>717</v>
      </c>
      <c r="D989" s="86" t="s">
        <v>726</v>
      </c>
      <c r="E989" s="96" t="s">
        <v>731</v>
      </c>
      <c r="F989" s="87" t="s">
        <v>728</v>
      </c>
      <c r="G989" s="88" t="s">
        <v>721</v>
      </c>
    </row>
    <row r="990" spans="1:11" s="77" customFormat="1" ht="15" hidden="1" customHeight="1">
      <c r="A990" s="83">
        <v>45902</v>
      </c>
      <c r="B990" s="77" t="s">
        <v>842</v>
      </c>
      <c r="C990" s="77" t="s">
        <v>717</v>
      </c>
      <c r="D990" s="86" t="s">
        <v>726</v>
      </c>
      <c r="E990" s="96" t="s">
        <v>732</v>
      </c>
      <c r="F990" s="87" t="s">
        <v>728</v>
      </c>
      <c r="G990" s="88" t="s">
        <v>721</v>
      </c>
    </row>
    <row r="991" spans="1:11" s="77" customFormat="1" ht="15" hidden="1" customHeight="1">
      <c r="A991" s="83">
        <v>45902</v>
      </c>
      <c r="B991" s="77" t="s">
        <v>842</v>
      </c>
      <c r="C991" s="77" t="s">
        <v>717</v>
      </c>
      <c r="D991" s="86" t="s">
        <v>726</v>
      </c>
      <c r="E991" s="96" t="s">
        <v>733</v>
      </c>
      <c r="F991" s="87" t="s">
        <v>728</v>
      </c>
      <c r="G991" s="88" t="s">
        <v>721</v>
      </c>
    </row>
    <row r="992" spans="1:11" ht="15" customHeight="1">
      <c r="A992" s="90">
        <v>45902</v>
      </c>
      <c r="B992" s="78" t="s">
        <v>842</v>
      </c>
      <c r="C992" s="78" t="s">
        <v>717</v>
      </c>
      <c r="D992" s="91" t="s">
        <v>726</v>
      </c>
      <c r="E992" s="78" t="s">
        <v>734</v>
      </c>
      <c r="F992" s="80" t="s">
        <v>844</v>
      </c>
      <c r="G992" s="94">
        <v>1856138</v>
      </c>
      <c r="H992" s="78" t="s">
        <v>354</v>
      </c>
      <c r="I992" s="78" t="s">
        <v>774</v>
      </c>
      <c r="J992" s="78" t="s">
        <v>840</v>
      </c>
      <c r="K992" s="78" t="s">
        <v>354</v>
      </c>
    </row>
    <row r="993" spans="1:11" s="77" customFormat="1" ht="15" hidden="1" customHeight="1">
      <c r="A993" s="83">
        <v>45902</v>
      </c>
      <c r="B993" s="77" t="s">
        <v>842</v>
      </c>
      <c r="C993" s="77" t="s">
        <v>717</v>
      </c>
      <c r="D993" s="86" t="s">
        <v>726</v>
      </c>
      <c r="E993" s="96" t="s">
        <v>735</v>
      </c>
      <c r="F993" s="87" t="s">
        <v>728</v>
      </c>
      <c r="G993" s="88" t="s">
        <v>721</v>
      </c>
    </row>
    <row r="994" spans="1:11" s="77" customFormat="1" ht="15" hidden="1" customHeight="1">
      <c r="A994" s="83">
        <v>45902</v>
      </c>
      <c r="B994" s="77" t="s">
        <v>842</v>
      </c>
      <c r="C994" s="77" t="s">
        <v>717</v>
      </c>
      <c r="D994" s="86" t="s">
        <v>736</v>
      </c>
      <c r="E994" s="96" t="s">
        <v>737</v>
      </c>
      <c r="F994" s="87" t="s">
        <v>801</v>
      </c>
      <c r="G994" s="88" t="s">
        <v>721</v>
      </c>
    </row>
    <row r="995" spans="1:11" s="77" customFormat="1" ht="15" hidden="1" customHeight="1">
      <c r="A995" s="83">
        <v>45902</v>
      </c>
      <c r="B995" s="77" t="s">
        <v>842</v>
      </c>
      <c r="C995" s="77" t="s">
        <v>717</v>
      </c>
      <c r="D995" s="86" t="s">
        <v>736</v>
      </c>
      <c r="E995" s="96" t="s">
        <v>738</v>
      </c>
      <c r="F995" s="87" t="s">
        <v>801</v>
      </c>
      <c r="G995" s="88" t="s">
        <v>721</v>
      </c>
    </row>
    <row r="996" spans="1:11" ht="15" customHeight="1">
      <c r="A996" s="90">
        <v>45902</v>
      </c>
      <c r="B996" s="78" t="s">
        <v>842</v>
      </c>
      <c r="C996" s="78" t="s">
        <v>717</v>
      </c>
      <c r="D996" s="92" t="s">
        <v>739</v>
      </c>
      <c r="E996" s="78" t="s">
        <v>740</v>
      </c>
      <c r="F996" s="80" t="s">
        <v>845</v>
      </c>
      <c r="G996" s="94">
        <v>1856138</v>
      </c>
      <c r="H996" s="78" t="s">
        <v>354</v>
      </c>
      <c r="I996" s="78" t="s">
        <v>774</v>
      </c>
      <c r="J996" s="78" t="s">
        <v>840</v>
      </c>
      <c r="K996" s="78" t="s">
        <v>354</v>
      </c>
    </row>
    <row r="997" spans="1:11" s="77" customFormat="1" ht="15" hidden="1" customHeight="1">
      <c r="A997" s="83">
        <v>45902</v>
      </c>
      <c r="B997" s="77" t="s">
        <v>842</v>
      </c>
      <c r="C997" s="77" t="s">
        <v>717</v>
      </c>
      <c r="D997" s="85" t="s">
        <v>739</v>
      </c>
      <c r="E997" s="96" t="s">
        <v>741</v>
      </c>
      <c r="F997" s="87" t="s">
        <v>728</v>
      </c>
      <c r="G997" s="88" t="s">
        <v>721</v>
      </c>
    </row>
    <row r="998" spans="1:11" s="77" customFormat="1" ht="15" hidden="1" customHeight="1">
      <c r="A998" s="83">
        <v>45902</v>
      </c>
      <c r="B998" s="77" t="s">
        <v>842</v>
      </c>
      <c r="C998" s="77" t="s">
        <v>717</v>
      </c>
      <c r="D998" s="85" t="s">
        <v>739</v>
      </c>
      <c r="E998" s="96" t="s">
        <v>743</v>
      </c>
      <c r="F998" s="87" t="s">
        <v>728</v>
      </c>
      <c r="G998" s="88" t="s">
        <v>721</v>
      </c>
    </row>
    <row r="999" spans="1:11" ht="15" customHeight="1">
      <c r="A999" s="90">
        <v>45902</v>
      </c>
      <c r="B999" s="78" t="s">
        <v>842</v>
      </c>
      <c r="C999" s="78" t="s">
        <v>717</v>
      </c>
      <c r="D999" s="92" t="s">
        <v>744</v>
      </c>
      <c r="E999" s="78" t="s">
        <v>745</v>
      </c>
      <c r="F999" s="80" t="s">
        <v>846</v>
      </c>
      <c r="G999" s="94">
        <v>1856138</v>
      </c>
      <c r="H999" s="78" t="s">
        <v>354</v>
      </c>
      <c r="I999" s="78" t="s">
        <v>774</v>
      </c>
      <c r="J999" s="78" t="s">
        <v>840</v>
      </c>
      <c r="K999" s="78" t="s">
        <v>354</v>
      </c>
    </row>
    <row r="1000" spans="1:11" s="77" customFormat="1" ht="15" hidden="1" customHeight="1">
      <c r="A1000" s="83">
        <v>45902</v>
      </c>
      <c r="B1000" s="77" t="s">
        <v>842</v>
      </c>
      <c r="C1000" s="77" t="s">
        <v>717</v>
      </c>
      <c r="D1000" s="85" t="s">
        <v>744</v>
      </c>
      <c r="E1000" s="96" t="s">
        <v>746</v>
      </c>
      <c r="F1000" s="87" t="s">
        <v>728</v>
      </c>
      <c r="G1000" s="88" t="s">
        <v>721</v>
      </c>
    </row>
    <row r="1001" spans="1:11" s="77" customFormat="1" ht="15" hidden="1" customHeight="1">
      <c r="A1001" s="83">
        <v>45902</v>
      </c>
      <c r="B1001" s="77" t="s">
        <v>842</v>
      </c>
      <c r="C1001" s="77" t="s">
        <v>717</v>
      </c>
      <c r="D1001" s="85" t="s">
        <v>744</v>
      </c>
      <c r="E1001" s="96" t="s">
        <v>747</v>
      </c>
      <c r="F1001" s="87" t="s">
        <v>728</v>
      </c>
      <c r="G1001" s="88" t="s">
        <v>721</v>
      </c>
    </row>
    <row r="1002" spans="1:11" s="77" customFormat="1" ht="15" hidden="1" customHeight="1">
      <c r="A1002" s="83">
        <v>45902</v>
      </c>
      <c r="B1002" s="77" t="s">
        <v>842</v>
      </c>
      <c r="C1002" s="77" t="s">
        <v>717</v>
      </c>
      <c r="D1002" s="85" t="s">
        <v>744</v>
      </c>
      <c r="E1002" s="96" t="s">
        <v>748</v>
      </c>
      <c r="F1002" s="87" t="s">
        <v>728</v>
      </c>
      <c r="G1002" s="88" t="s">
        <v>721</v>
      </c>
    </row>
    <row r="1003" spans="1:11" s="77" customFormat="1" ht="15" hidden="1" customHeight="1">
      <c r="A1003" s="83">
        <v>45902</v>
      </c>
      <c r="B1003" s="77" t="s">
        <v>842</v>
      </c>
      <c r="C1003" s="77" t="s">
        <v>717</v>
      </c>
      <c r="D1003" s="85" t="s">
        <v>744</v>
      </c>
      <c r="E1003" s="96" t="s">
        <v>749</v>
      </c>
      <c r="F1003" s="87" t="s">
        <v>728</v>
      </c>
      <c r="G1003" s="88" t="s">
        <v>721</v>
      </c>
    </row>
    <row r="1004" spans="1:11" ht="15" customHeight="1">
      <c r="A1004" s="90">
        <v>45902</v>
      </c>
      <c r="B1004" s="78" t="s">
        <v>842</v>
      </c>
      <c r="C1004" s="78" t="s">
        <v>717</v>
      </c>
      <c r="D1004" s="92" t="s">
        <v>750</v>
      </c>
      <c r="E1004" s="78" t="s">
        <v>751</v>
      </c>
      <c r="F1004" s="80" t="s">
        <v>837</v>
      </c>
      <c r="G1004" s="94">
        <v>1856138</v>
      </c>
      <c r="H1004" s="78" t="s">
        <v>354</v>
      </c>
      <c r="I1004" s="78" t="s">
        <v>774</v>
      </c>
      <c r="J1004" s="78" t="s">
        <v>840</v>
      </c>
      <c r="K1004" s="78" t="s">
        <v>354</v>
      </c>
    </row>
    <row r="1005" spans="1:11" s="77" customFormat="1" ht="15" hidden="1" customHeight="1">
      <c r="A1005" s="83">
        <v>45902</v>
      </c>
      <c r="B1005" s="77" t="s">
        <v>842</v>
      </c>
      <c r="C1005" s="77" t="s">
        <v>717</v>
      </c>
      <c r="D1005" s="85" t="s">
        <v>750</v>
      </c>
      <c r="E1005" s="96" t="s">
        <v>752</v>
      </c>
      <c r="F1005" s="87" t="s">
        <v>728</v>
      </c>
      <c r="G1005" s="88" t="s">
        <v>721</v>
      </c>
    </row>
    <row r="1006" spans="1:11" s="77" customFormat="1" ht="15" hidden="1" customHeight="1">
      <c r="A1006" s="83">
        <v>45902</v>
      </c>
      <c r="B1006" s="77" t="s">
        <v>842</v>
      </c>
      <c r="C1006" s="77" t="s">
        <v>717</v>
      </c>
      <c r="D1006" s="85" t="s">
        <v>750</v>
      </c>
      <c r="E1006" s="96" t="s">
        <v>753</v>
      </c>
      <c r="F1006" s="87" t="s">
        <v>728</v>
      </c>
      <c r="G1006" s="88" t="s">
        <v>721</v>
      </c>
    </row>
    <row r="1007" spans="1:11" s="77" customFormat="1" ht="15" hidden="1" customHeight="1">
      <c r="A1007" s="83">
        <v>45902</v>
      </c>
      <c r="B1007" s="77" t="s">
        <v>842</v>
      </c>
      <c r="C1007" s="77" t="s">
        <v>717</v>
      </c>
      <c r="D1007" s="85" t="s">
        <v>750</v>
      </c>
      <c r="E1007" s="96" t="s">
        <v>754</v>
      </c>
      <c r="F1007" s="87" t="s">
        <v>728</v>
      </c>
      <c r="G1007" s="88" t="s">
        <v>721</v>
      </c>
    </row>
    <row r="1008" spans="1:11" s="77" customFormat="1" ht="15" hidden="1" customHeight="1">
      <c r="A1008" s="83">
        <v>45902</v>
      </c>
      <c r="B1008" s="77" t="s">
        <v>842</v>
      </c>
      <c r="C1008" s="77" t="s">
        <v>717</v>
      </c>
      <c r="D1008" s="85" t="s">
        <v>755</v>
      </c>
      <c r="E1008" s="86" t="s">
        <v>756</v>
      </c>
      <c r="F1008" s="87" t="s">
        <v>802</v>
      </c>
      <c r="G1008" s="88" t="s">
        <v>721</v>
      </c>
    </row>
    <row r="1009" spans="1:11" s="77" customFormat="1" ht="15" hidden="1" customHeight="1">
      <c r="A1009" s="83">
        <v>45902</v>
      </c>
      <c r="B1009" s="77" t="s">
        <v>842</v>
      </c>
      <c r="C1009" s="77" t="s">
        <v>717</v>
      </c>
      <c r="D1009" s="85" t="s">
        <v>755</v>
      </c>
      <c r="E1009" s="96" t="s">
        <v>757</v>
      </c>
      <c r="F1009" s="87" t="s">
        <v>802</v>
      </c>
      <c r="G1009" s="88" t="s">
        <v>721</v>
      </c>
    </row>
    <row r="1010" spans="1:11" s="77" customFormat="1" ht="15" hidden="1" customHeight="1">
      <c r="A1010" s="83">
        <v>45902</v>
      </c>
      <c r="B1010" s="77" t="s">
        <v>842</v>
      </c>
      <c r="C1010" s="77" t="s">
        <v>717</v>
      </c>
      <c r="D1010" s="85" t="s">
        <v>758</v>
      </c>
      <c r="E1010" s="96" t="s">
        <v>759</v>
      </c>
      <c r="F1010" s="87" t="s">
        <v>728</v>
      </c>
      <c r="G1010" s="88" t="s">
        <v>721</v>
      </c>
    </row>
    <row r="1011" spans="1:11" s="77" customFormat="1" ht="15" hidden="1" customHeight="1">
      <c r="A1011" s="83">
        <v>45902</v>
      </c>
      <c r="B1011" s="77" t="s">
        <v>842</v>
      </c>
      <c r="C1011" s="77" t="s">
        <v>717</v>
      </c>
      <c r="D1011" s="85" t="s">
        <v>758</v>
      </c>
      <c r="E1011" s="96" t="s">
        <v>760</v>
      </c>
      <c r="F1011" s="87" t="s">
        <v>728</v>
      </c>
      <c r="G1011" s="88" t="s">
        <v>721</v>
      </c>
    </row>
    <row r="1012" spans="1:11" s="77" customFormat="1" ht="15" hidden="1" customHeight="1">
      <c r="A1012" s="83">
        <v>45902</v>
      </c>
      <c r="B1012" s="77" t="s">
        <v>842</v>
      </c>
      <c r="C1012" s="77" t="s">
        <v>717</v>
      </c>
      <c r="D1012" s="85" t="s">
        <v>758</v>
      </c>
      <c r="E1012" s="96" t="s">
        <v>761</v>
      </c>
      <c r="F1012" s="87" t="s">
        <v>728</v>
      </c>
      <c r="G1012" s="88" t="s">
        <v>721</v>
      </c>
    </row>
    <row r="1013" spans="1:11" s="77" customFormat="1" ht="15" hidden="1" customHeight="1">
      <c r="A1013" s="83">
        <v>45902</v>
      </c>
      <c r="B1013" s="77" t="s">
        <v>842</v>
      </c>
      <c r="C1013" s="77" t="s">
        <v>717</v>
      </c>
      <c r="D1013" s="85" t="s">
        <v>758</v>
      </c>
      <c r="E1013" s="96" t="s">
        <v>762</v>
      </c>
      <c r="F1013" s="87" t="s">
        <v>728</v>
      </c>
      <c r="G1013" s="88" t="s">
        <v>721</v>
      </c>
    </row>
    <row r="1014" spans="1:11" s="77" customFormat="1" ht="15" hidden="1" customHeight="1">
      <c r="A1014" s="83">
        <v>45902</v>
      </c>
      <c r="B1014" s="77" t="s">
        <v>842</v>
      </c>
      <c r="C1014" s="77" t="s">
        <v>717</v>
      </c>
      <c r="D1014" s="85" t="s">
        <v>758</v>
      </c>
      <c r="E1014" s="96" t="s">
        <v>763</v>
      </c>
      <c r="F1014" s="87" t="s">
        <v>728</v>
      </c>
      <c r="G1014" s="88" t="s">
        <v>721</v>
      </c>
    </row>
    <row r="1015" spans="1:11" s="77" customFormat="1" ht="15" hidden="1" customHeight="1">
      <c r="A1015" s="83">
        <v>45902</v>
      </c>
      <c r="B1015" s="77" t="s">
        <v>842</v>
      </c>
      <c r="C1015" s="77" t="s">
        <v>717</v>
      </c>
      <c r="D1015" s="85" t="s">
        <v>758</v>
      </c>
      <c r="E1015" s="96" t="s">
        <v>764</v>
      </c>
      <c r="F1015" s="87" t="s">
        <v>728</v>
      </c>
      <c r="G1015" s="88" t="s">
        <v>721</v>
      </c>
    </row>
    <row r="1016" spans="1:11" s="77" customFormat="1" ht="15" hidden="1" customHeight="1">
      <c r="A1016" s="83">
        <v>45902</v>
      </c>
      <c r="B1016" s="77" t="s">
        <v>842</v>
      </c>
      <c r="C1016" s="77" t="s">
        <v>717</v>
      </c>
      <c r="D1016" s="85" t="s">
        <v>718</v>
      </c>
      <c r="E1016" s="96" t="s">
        <v>719</v>
      </c>
      <c r="F1016" s="87" t="s">
        <v>728</v>
      </c>
      <c r="G1016" s="88" t="s">
        <v>721</v>
      </c>
    </row>
    <row r="1017" spans="1:11" s="77" customFormat="1" ht="15" hidden="1" customHeight="1">
      <c r="A1017" s="83">
        <v>45902</v>
      </c>
      <c r="B1017" s="77" t="s">
        <v>842</v>
      </c>
      <c r="C1017" s="77" t="s">
        <v>717</v>
      </c>
      <c r="D1017" s="85" t="s">
        <v>718</v>
      </c>
      <c r="E1017" s="86" t="s">
        <v>765</v>
      </c>
      <c r="F1017" s="87" t="s">
        <v>728</v>
      </c>
      <c r="G1017" s="88" t="s">
        <v>721</v>
      </c>
    </row>
    <row r="1018" spans="1:11" s="77" customFormat="1" ht="15" hidden="1" customHeight="1">
      <c r="A1018" s="83">
        <v>45902</v>
      </c>
      <c r="B1018" s="77" t="s">
        <v>842</v>
      </c>
      <c r="C1018" s="77" t="s">
        <v>717</v>
      </c>
      <c r="D1018" s="85" t="s">
        <v>718</v>
      </c>
      <c r="E1018" s="86" t="s">
        <v>766</v>
      </c>
      <c r="F1018" s="87" t="s">
        <v>728</v>
      </c>
      <c r="G1018" s="88" t="s">
        <v>721</v>
      </c>
    </row>
    <row r="1019" spans="1:11" s="77" customFormat="1" ht="15" hidden="1" customHeight="1">
      <c r="A1019" s="83">
        <v>45902</v>
      </c>
      <c r="B1019" s="77" t="s">
        <v>842</v>
      </c>
      <c r="C1019" s="77" t="s">
        <v>717</v>
      </c>
      <c r="D1019" s="85" t="s">
        <v>718</v>
      </c>
      <c r="E1019" s="86" t="s">
        <v>767</v>
      </c>
      <c r="F1019" s="87" t="s">
        <v>728</v>
      </c>
      <c r="G1019" s="88" t="s">
        <v>721</v>
      </c>
    </row>
    <row r="1020" spans="1:11" s="77" customFormat="1" ht="15" hidden="1" customHeight="1">
      <c r="A1020" s="83">
        <v>45902</v>
      </c>
      <c r="B1020" s="77" t="s">
        <v>842</v>
      </c>
      <c r="C1020" s="77" t="s">
        <v>717</v>
      </c>
      <c r="D1020" s="85" t="s">
        <v>718</v>
      </c>
      <c r="E1020" s="86" t="s">
        <v>768</v>
      </c>
      <c r="F1020" s="87" t="s">
        <v>728</v>
      </c>
      <c r="G1020" s="88" t="s">
        <v>721</v>
      </c>
    </row>
    <row r="1021" spans="1:11" s="77" customFormat="1" ht="15" hidden="1" customHeight="1">
      <c r="A1021" s="83">
        <v>45902</v>
      </c>
      <c r="B1021" s="77" t="s">
        <v>842</v>
      </c>
      <c r="C1021" s="77" t="s">
        <v>717</v>
      </c>
      <c r="D1021" s="85" t="s">
        <v>718</v>
      </c>
      <c r="E1021" s="86" t="s">
        <v>769</v>
      </c>
      <c r="F1021" s="87" t="s">
        <v>728</v>
      </c>
      <c r="G1021" s="88" t="s">
        <v>721</v>
      </c>
    </row>
    <row r="1022" spans="1:11" ht="15" customHeight="1">
      <c r="A1022" s="90">
        <v>45902</v>
      </c>
      <c r="B1022" s="78" t="s">
        <v>842</v>
      </c>
      <c r="C1022" s="78" t="s">
        <v>717</v>
      </c>
      <c r="D1022" s="92" t="s">
        <v>718</v>
      </c>
      <c r="E1022" s="91" t="s">
        <v>770</v>
      </c>
      <c r="F1022" s="80" t="s">
        <v>847</v>
      </c>
      <c r="G1022" s="94">
        <v>1856138</v>
      </c>
      <c r="H1022" s="78" t="s">
        <v>354</v>
      </c>
      <c r="I1022" s="78" t="s">
        <v>724</v>
      </c>
      <c r="J1022" s="78" t="s">
        <v>840</v>
      </c>
      <c r="K1022" s="78" t="s">
        <v>354</v>
      </c>
    </row>
    <row r="1023" spans="1:11" s="77" customFormat="1" ht="15" hidden="1" customHeight="1">
      <c r="A1023" s="83">
        <v>45902</v>
      </c>
      <c r="B1023" s="77" t="s">
        <v>842</v>
      </c>
      <c r="C1023" s="77" t="s">
        <v>717</v>
      </c>
      <c r="D1023" s="85" t="s">
        <v>718</v>
      </c>
      <c r="E1023" s="86" t="s">
        <v>771</v>
      </c>
      <c r="F1023" s="87" t="s">
        <v>728</v>
      </c>
      <c r="G1023" s="88" t="s">
        <v>721</v>
      </c>
    </row>
    <row r="1024" spans="1:11" s="77" customFormat="1" ht="15" hidden="1" customHeight="1">
      <c r="A1024" s="83">
        <v>45902</v>
      </c>
      <c r="B1024" s="77" t="s">
        <v>842</v>
      </c>
      <c r="C1024" s="77" t="s">
        <v>717</v>
      </c>
      <c r="D1024" s="85" t="s">
        <v>718</v>
      </c>
      <c r="E1024" s="86" t="s">
        <v>772</v>
      </c>
      <c r="F1024" s="87" t="s">
        <v>728</v>
      </c>
      <c r="G1024" s="88" t="s">
        <v>721</v>
      </c>
    </row>
    <row r="1025" spans="1:11" s="77" customFormat="1" ht="15" hidden="1" customHeight="1">
      <c r="A1025" s="83">
        <v>45902</v>
      </c>
      <c r="B1025" s="77" t="s">
        <v>842</v>
      </c>
      <c r="C1025" s="77" t="s">
        <v>717</v>
      </c>
      <c r="D1025" s="85" t="s">
        <v>718</v>
      </c>
      <c r="E1025" s="96" t="s">
        <v>803</v>
      </c>
      <c r="F1025" s="87" t="s">
        <v>728</v>
      </c>
      <c r="G1025" s="88" t="s">
        <v>721</v>
      </c>
    </row>
    <row r="1026" spans="1:11" ht="15" customHeight="1">
      <c r="A1026" s="90">
        <v>45902</v>
      </c>
      <c r="B1026" s="78" t="s">
        <v>588</v>
      </c>
      <c r="C1026" s="78" t="s">
        <v>717</v>
      </c>
      <c r="D1026" s="91" t="s">
        <v>726</v>
      </c>
      <c r="E1026" s="100" t="s">
        <v>727</v>
      </c>
      <c r="F1026" s="80" t="s">
        <v>848</v>
      </c>
      <c r="G1026" s="94">
        <v>1856139</v>
      </c>
      <c r="H1026" s="78" t="s">
        <v>354</v>
      </c>
      <c r="I1026" s="78" t="s">
        <v>724</v>
      </c>
      <c r="J1026" s="78" t="s">
        <v>849</v>
      </c>
      <c r="K1026" s="78" t="s">
        <v>354</v>
      </c>
    </row>
    <row r="1027" spans="1:11" ht="15" customHeight="1">
      <c r="A1027" s="90">
        <v>45902</v>
      </c>
      <c r="B1027" s="78" t="s">
        <v>588</v>
      </c>
      <c r="C1027" s="78" t="s">
        <v>717</v>
      </c>
      <c r="D1027" s="91" t="s">
        <v>726</v>
      </c>
      <c r="E1027" s="78" t="s">
        <v>729</v>
      </c>
      <c r="F1027" s="80" t="s">
        <v>813</v>
      </c>
      <c r="G1027" s="94">
        <v>1856139</v>
      </c>
      <c r="H1027" s="78" t="s">
        <v>354</v>
      </c>
      <c r="I1027" s="78" t="s">
        <v>724</v>
      </c>
      <c r="J1027" s="78" t="s">
        <v>849</v>
      </c>
      <c r="K1027" s="78" t="s">
        <v>354</v>
      </c>
    </row>
    <row r="1028" spans="1:11" s="77" customFormat="1" ht="15" hidden="1" customHeight="1">
      <c r="A1028" s="83">
        <v>45902</v>
      </c>
      <c r="B1028" s="77" t="s">
        <v>588</v>
      </c>
      <c r="C1028" s="77" t="s">
        <v>717</v>
      </c>
      <c r="D1028" s="86" t="s">
        <v>726</v>
      </c>
      <c r="E1028" s="96" t="s">
        <v>730</v>
      </c>
      <c r="F1028" s="87" t="s">
        <v>728</v>
      </c>
      <c r="G1028" s="88" t="s">
        <v>721</v>
      </c>
    </row>
    <row r="1029" spans="1:11" s="77" customFormat="1" ht="15" hidden="1" customHeight="1">
      <c r="A1029" s="83">
        <v>45902</v>
      </c>
      <c r="B1029" s="77" t="s">
        <v>588</v>
      </c>
      <c r="C1029" s="77" t="s">
        <v>717</v>
      </c>
      <c r="D1029" s="86" t="s">
        <v>726</v>
      </c>
      <c r="E1029" s="96" t="s">
        <v>731</v>
      </c>
      <c r="F1029" s="87" t="s">
        <v>728</v>
      </c>
      <c r="G1029" s="88" t="s">
        <v>721</v>
      </c>
    </row>
    <row r="1030" spans="1:11" s="77" customFormat="1" ht="15" hidden="1" customHeight="1">
      <c r="A1030" s="83">
        <v>45902</v>
      </c>
      <c r="B1030" s="77" t="s">
        <v>588</v>
      </c>
      <c r="C1030" s="77" t="s">
        <v>717</v>
      </c>
      <c r="D1030" s="86" t="s">
        <v>726</v>
      </c>
      <c r="E1030" s="96" t="s">
        <v>732</v>
      </c>
      <c r="F1030" s="87" t="s">
        <v>728</v>
      </c>
      <c r="G1030" s="88" t="s">
        <v>721</v>
      </c>
    </row>
    <row r="1031" spans="1:11" s="77" customFormat="1" ht="15" hidden="1" customHeight="1">
      <c r="A1031" s="83">
        <v>45902</v>
      </c>
      <c r="B1031" s="77" t="s">
        <v>588</v>
      </c>
      <c r="C1031" s="77" t="s">
        <v>717</v>
      </c>
      <c r="D1031" s="86" t="s">
        <v>726</v>
      </c>
      <c r="E1031" s="96" t="s">
        <v>733</v>
      </c>
      <c r="F1031" s="87" t="s">
        <v>728</v>
      </c>
      <c r="G1031" s="88" t="s">
        <v>721</v>
      </c>
    </row>
    <row r="1032" spans="1:11" ht="15" customHeight="1">
      <c r="A1032" s="90">
        <v>45902</v>
      </c>
      <c r="B1032" s="78" t="s">
        <v>588</v>
      </c>
      <c r="C1032" s="78" t="s">
        <v>717</v>
      </c>
      <c r="D1032" s="91" t="s">
        <v>726</v>
      </c>
      <c r="E1032" s="78" t="s">
        <v>734</v>
      </c>
      <c r="F1032" s="80" t="s">
        <v>850</v>
      </c>
      <c r="G1032" s="94">
        <v>1856139</v>
      </c>
      <c r="H1032" s="78" t="s">
        <v>354</v>
      </c>
      <c r="I1032" s="78" t="s">
        <v>724</v>
      </c>
      <c r="J1032" s="78" t="s">
        <v>849</v>
      </c>
      <c r="K1032" s="78" t="s">
        <v>354</v>
      </c>
    </row>
    <row r="1033" spans="1:11" s="77" customFormat="1" ht="15" hidden="1" customHeight="1">
      <c r="A1033" s="83">
        <v>45902</v>
      </c>
      <c r="B1033" s="77" t="s">
        <v>588</v>
      </c>
      <c r="C1033" s="77" t="s">
        <v>717</v>
      </c>
      <c r="D1033" s="86" t="s">
        <v>726</v>
      </c>
      <c r="E1033" s="96" t="s">
        <v>735</v>
      </c>
      <c r="F1033" s="87" t="s">
        <v>728</v>
      </c>
      <c r="G1033" s="88" t="s">
        <v>721</v>
      </c>
    </row>
    <row r="1034" spans="1:11" s="77" customFormat="1" ht="15" hidden="1" customHeight="1">
      <c r="A1034" s="83">
        <v>45902</v>
      </c>
      <c r="B1034" s="77" t="s">
        <v>588</v>
      </c>
      <c r="C1034" s="77" t="s">
        <v>717</v>
      </c>
      <c r="D1034" s="86" t="s">
        <v>736</v>
      </c>
      <c r="E1034" s="96" t="s">
        <v>737</v>
      </c>
      <c r="F1034" s="87" t="s">
        <v>801</v>
      </c>
      <c r="G1034" s="88" t="s">
        <v>721</v>
      </c>
    </row>
    <row r="1035" spans="1:11" s="77" customFormat="1" ht="15" hidden="1" customHeight="1">
      <c r="A1035" s="83">
        <v>45902</v>
      </c>
      <c r="B1035" s="77" t="s">
        <v>588</v>
      </c>
      <c r="C1035" s="77" t="s">
        <v>717</v>
      </c>
      <c r="D1035" s="86" t="s">
        <v>736</v>
      </c>
      <c r="E1035" s="96" t="s">
        <v>738</v>
      </c>
      <c r="F1035" s="87" t="s">
        <v>801</v>
      </c>
      <c r="G1035" s="88" t="s">
        <v>721</v>
      </c>
    </row>
    <row r="1036" spans="1:11" s="77" customFormat="1" ht="15" hidden="1" customHeight="1">
      <c r="A1036" s="83">
        <v>45902</v>
      </c>
      <c r="B1036" s="77" t="s">
        <v>588</v>
      </c>
      <c r="C1036" s="77" t="s">
        <v>717</v>
      </c>
      <c r="D1036" s="85" t="s">
        <v>739</v>
      </c>
      <c r="E1036" s="96" t="s">
        <v>740</v>
      </c>
      <c r="F1036" s="87" t="s">
        <v>728</v>
      </c>
      <c r="G1036" s="88" t="s">
        <v>721</v>
      </c>
    </row>
    <row r="1037" spans="1:11" s="77" customFormat="1" ht="15" hidden="1" customHeight="1">
      <c r="A1037" s="83">
        <v>45902</v>
      </c>
      <c r="B1037" s="77" t="s">
        <v>588</v>
      </c>
      <c r="C1037" s="77" t="s">
        <v>717</v>
      </c>
      <c r="D1037" s="85" t="s">
        <v>739</v>
      </c>
      <c r="E1037" s="96" t="s">
        <v>741</v>
      </c>
      <c r="F1037" s="87" t="s">
        <v>728</v>
      </c>
      <c r="G1037" s="88" t="s">
        <v>721</v>
      </c>
    </row>
    <row r="1038" spans="1:11" ht="15" customHeight="1">
      <c r="A1038" s="90">
        <v>45902</v>
      </c>
      <c r="B1038" s="78" t="s">
        <v>588</v>
      </c>
      <c r="C1038" s="78" t="s">
        <v>717</v>
      </c>
      <c r="D1038" s="92" t="s">
        <v>739</v>
      </c>
      <c r="E1038" s="78" t="s">
        <v>743</v>
      </c>
      <c r="F1038" s="80" t="s">
        <v>851</v>
      </c>
      <c r="G1038" s="94">
        <v>1856139</v>
      </c>
      <c r="H1038" s="78" t="s">
        <v>354</v>
      </c>
      <c r="I1038" s="78" t="s">
        <v>724</v>
      </c>
      <c r="J1038" s="78" t="s">
        <v>849</v>
      </c>
      <c r="K1038" s="78" t="s">
        <v>354</v>
      </c>
    </row>
    <row r="1039" spans="1:11" ht="15" customHeight="1">
      <c r="A1039" s="90">
        <v>45902</v>
      </c>
      <c r="B1039" s="78" t="s">
        <v>588</v>
      </c>
      <c r="C1039" s="78" t="s">
        <v>717</v>
      </c>
      <c r="D1039" s="92" t="s">
        <v>744</v>
      </c>
      <c r="E1039" s="78" t="s">
        <v>745</v>
      </c>
      <c r="F1039" s="80" t="s">
        <v>852</v>
      </c>
      <c r="G1039" s="94">
        <v>1856139</v>
      </c>
      <c r="H1039" s="78" t="s">
        <v>354</v>
      </c>
      <c r="I1039" s="78" t="s">
        <v>724</v>
      </c>
      <c r="J1039" s="78" t="s">
        <v>849</v>
      </c>
      <c r="K1039" s="78" t="s">
        <v>354</v>
      </c>
    </row>
    <row r="1040" spans="1:11" ht="15" customHeight="1">
      <c r="A1040" s="90">
        <v>45902</v>
      </c>
      <c r="B1040" s="78" t="s">
        <v>588</v>
      </c>
      <c r="C1040" s="78" t="s">
        <v>717</v>
      </c>
      <c r="D1040" s="92" t="s">
        <v>744</v>
      </c>
      <c r="E1040" s="78" t="s">
        <v>746</v>
      </c>
      <c r="F1040" s="80" t="s">
        <v>853</v>
      </c>
      <c r="G1040" s="94">
        <v>1856139</v>
      </c>
      <c r="H1040" s="78" t="s">
        <v>354</v>
      </c>
      <c r="I1040" s="78" t="s">
        <v>724</v>
      </c>
      <c r="J1040" s="78" t="s">
        <v>849</v>
      </c>
      <c r="K1040" s="78" t="s">
        <v>354</v>
      </c>
    </row>
    <row r="1041" spans="1:11" s="77" customFormat="1" ht="15" hidden="1" customHeight="1">
      <c r="A1041" s="83">
        <v>45902</v>
      </c>
      <c r="B1041" s="77" t="s">
        <v>588</v>
      </c>
      <c r="C1041" s="77" t="s">
        <v>717</v>
      </c>
      <c r="D1041" s="85" t="s">
        <v>744</v>
      </c>
      <c r="E1041" s="96" t="s">
        <v>747</v>
      </c>
      <c r="F1041" s="87" t="s">
        <v>801</v>
      </c>
      <c r="G1041" s="88" t="s">
        <v>721</v>
      </c>
    </row>
    <row r="1042" spans="1:11" s="77" customFormat="1" ht="15" hidden="1" customHeight="1">
      <c r="A1042" s="83">
        <v>45902</v>
      </c>
      <c r="B1042" s="77" t="s">
        <v>588</v>
      </c>
      <c r="C1042" s="77" t="s">
        <v>717</v>
      </c>
      <c r="D1042" s="85" t="s">
        <v>744</v>
      </c>
      <c r="E1042" s="96" t="s">
        <v>748</v>
      </c>
      <c r="F1042" s="87" t="s">
        <v>728</v>
      </c>
      <c r="G1042" s="88" t="s">
        <v>721</v>
      </c>
    </row>
    <row r="1043" spans="1:11" s="77" customFormat="1" ht="15" hidden="1" customHeight="1">
      <c r="A1043" s="83">
        <v>45902</v>
      </c>
      <c r="B1043" s="77" t="s">
        <v>588</v>
      </c>
      <c r="C1043" s="77" t="s">
        <v>717</v>
      </c>
      <c r="D1043" s="85" t="s">
        <v>744</v>
      </c>
      <c r="E1043" s="96" t="s">
        <v>749</v>
      </c>
      <c r="F1043" s="87" t="s">
        <v>728</v>
      </c>
      <c r="G1043" s="88" t="s">
        <v>721</v>
      </c>
    </row>
    <row r="1044" spans="1:11" ht="15" customHeight="1">
      <c r="A1044" s="90">
        <v>45902</v>
      </c>
      <c r="B1044" s="78" t="s">
        <v>588</v>
      </c>
      <c r="C1044" s="78" t="s">
        <v>717</v>
      </c>
      <c r="D1044" s="92" t="s">
        <v>750</v>
      </c>
      <c r="E1044" s="78" t="s">
        <v>751</v>
      </c>
      <c r="F1044" s="80" t="s">
        <v>854</v>
      </c>
      <c r="G1044" s="94">
        <v>1856139</v>
      </c>
      <c r="H1044" s="78" t="s">
        <v>354</v>
      </c>
      <c r="I1044" s="78" t="s">
        <v>724</v>
      </c>
      <c r="J1044" s="78" t="s">
        <v>849</v>
      </c>
      <c r="K1044" s="78" t="s">
        <v>354</v>
      </c>
    </row>
    <row r="1045" spans="1:11" s="77" customFormat="1" ht="15" hidden="1" customHeight="1">
      <c r="A1045" s="83">
        <v>45902</v>
      </c>
      <c r="B1045" s="77" t="s">
        <v>588</v>
      </c>
      <c r="C1045" s="77" t="s">
        <v>717</v>
      </c>
      <c r="D1045" s="85" t="s">
        <v>750</v>
      </c>
      <c r="E1045" s="96" t="s">
        <v>752</v>
      </c>
      <c r="F1045" s="87" t="s">
        <v>728</v>
      </c>
      <c r="G1045" s="88" t="s">
        <v>721</v>
      </c>
    </row>
    <row r="1046" spans="1:11" s="77" customFormat="1" ht="15" hidden="1" customHeight="1">
      <c r="A1046" s="83">
        <v>45902</v>
      </c>
      <c r="B1046" s="77" t="s">
        <v>588</v>
      </c>
      <c r="C1046" s="77" t="s">
        <v>717</v>
      </c>
      <c r="D1046" s="85" t="s">
        <v>750</v>
      </c>
      <c r="E1046" s="96" t="s">
        <v>753</v>
      </c>
      <c r="F1046" s="87" t="s">
        <v>728</v>
      </c>
      <c r="G1046" s="88" t="s">
        <v>721</v>
      </c>
    </row>
    <row r="1047" spans="1:11" s="77" customFormat="1" ht="15" hidden="1" customHeight="1">
      <c r="A1047" s="83">
        <v>45902</v>
      </c>
      <c r="B1047" s="77" t="s">
        <v>588</v>
      </c>
      <c r="C1047" s="77" t="s">
        <v>717</v>
      </c>
      <c r="D1047" s="85" t="s">
        <v>750</v>
      </c>
      <c r="E1047" s="96" t="s">
        <v>754</v>
      </c>
      <c r="F1047" s="87" t="s">
        <v>728</v>
      </c>
      <c r="G1047" s="88" t="s">
        <v>721</v>
      </c>
    </row>
    <row r="1048" spans="1:11" s="77" customFormat="1" ht="15" hidden="1" customHeight="1">
      <c r="A1048" s="83">
        <v>45902</v>
      </c>
      <c r="B1048" s="77" t="s">
        <v>588</v>
      </c>
      <c r="C1048" s="77" t="s">
        <v>717</v>
      </c>
      <c r="D1048" s="85" t="s">
        <v>755</v>
      </c>
      <c r="E1048" s="86" t="s">
        <v>756</v>
      </c>
      <c r="F1048" s="87" t="s">
        <v>802</v>
      </c>
      <c r="G1048" s="88" t="s">
        <v>721</v>
      </c>
    </row>
    <row r="1049" spans="1:11" s="77" customFormat="1" ht="15" hidden="1" customHeight="1">
      <c r="A1049" s="83">
        <v>45902</v>
      </c>
      <c r="B1049" s="77" t="s">
        <v>588</v>
      </c>
      <c r="C1049" s="77" t="s">
        <v>717</v>
      </c>
      <c r="D1049" s="85" t="s">
        <v>755</v>
      </c>
      <c r="E1049" s="96" t="s">
        <v>757</v>
      </c>
      <c r="F1049" s="87" t="s">
        <v>802</v>
      </c>
      <c r="G1049" s="88" t="s">
        <v>721</v>
      </c>
    </row>
    <row r="1050" spans="1:11" s="77" customFormat="1" ht="15" hidden="1" customHeight="1">
      <c r="A1050" s="83">
        <v>45902</v>
      </c>
      <c r="B1050" s="77" t="s">
        <v>588</v>
      </c>
      <c r="C1050" s="77" t="s">
        <v>717</v>
      </c>
      <c r="D1050" s="85" t="s">
        <v>758</v>
      </c>
      <c r="E1050" s="96" t="s">
        <v>759</v>
      </c>
      <c r="F1050" s="87" t="s">
        <v>728</v>
      </c>
      <c r="G1050" s="88" t="s">
        <v>721</v>
      </c>
    </row>
    <row r="1051" spans="1:11" s="77" customFormat="1" ht="15" hidden="1" customHeight="1">
      <c r="A1051" s="83">
        <v>45902</v>
      </c>
      <c r="B1051" s="77" t="s">
        <v>588</v>
      </c>
      <c r="C1051" s="77" t="s">
        <v>717</v>
      </c>
      <c r="D1051" s="85" t="s">
        <v>758</v>
      </c>
      <c r="E1051" s="96" t="s">
        <v>760</v>
      </c>
      <c r="F1051" s="87" t="s">
        <v>728</v>
      </c>
      <c r="G1051" s="88" t="s">
        <v>721</v>
      </c>
    </row>
    <row r="1052" spans="1:11" s="77" customFormat="1" ht="15" hidden="1" customHeight="1">
      <c r="A1052" s="83">
        <v>45902</v>
      </c>
      <c r="B1052" s="77" t="s">
        <v>588</v>
      </c>
      <c r="C1052" s="77" t="s">
        <v>717</v>
      </c>
      <c r="D1052" s="85" t="s">
        <v>758</v>
      </c>
      <c r="E1052" s="96" t="s">
        <v>761</v>
      </c>
      <c r="F1052" s="87" t="s">
        <v>728</v>
      </c>
      <c r="G1052" s="88" t="s">
        <v>721</v>
      </c>
    </row>
    <row r="1053" spans="1:11" ht="15" customHeight="1">
      <c r="A1053" s="90">
        <v>45902</v>
      </c>
      <c r="B1053" s="78" t="s">
        <v>588</v>
      </c>
      <c r="C1053" s="78" t="s">
        <v>717</v>
      </c>
      <c r="D1053" s="92" t="s">
        <v>758</v>
      </c>
      <c r="E1053" s="78" t="s">
        <v>762</v>
      </c>
      <c r="F1053" s="80" t="s">
        <v>855</v>
      </c>
      <c r="G1053" s="94">
        <v>1856139</v>
      </c>
      <c r="H1053" s="78" t="s">
        <v>354</v>
      </c>
      <c r="I1053" s="78" t="s">
        <v>724</v>
      </c>
      <c r="J1053" s="78" t="s">
        <v>849</v>
      </c>
      <c r="K1053" s="78" t="s">
        <v>354</v>
      </c>
    </row>
    <row r="1054" spans="1:11" s="77" customFormat="1" ht="15" hidden="1" customHeight="1">
      <c r="A1054" s="83">
        <v>45902</v>
      </c>
      <c r="B1054" s="77" t="s">
        <v>588</v>
      </c>
      <c r="C1054" s="77" t="s">
        <v>717</v>
      </c>
      <c r="D1054" s="85" t="s">
        <v>758</v>
      </c>
      <c r="E1054" s="96" t="s">
        <v>763</v>
      </c>
      <c r="F1054" s="87" t="s">
        <v>728</v>
      </c>
      <c r="G1054" s="88" t="s">
        <v>721</v>
      </c>
    </row>
    <row r="1055" spans="1:11" s="77" customFormat="1" ht="15" hidden="1" customHeight="1">
      <c r="A1055" s="83">
        <v>45902</v>
      </c>
      <c r="B1055" s="77" t="s">
        <v>588</v>
      </c>
      <c r="C1055" s="77" t="s">
        <v>717</v>
      </c>
      <c r="D1055" s="85" t="s">
        <v>758</v>
      </c>
      <c r="E1055" s="96" t="s">
        <v>764</v>
      </c>
      <c r="F1055" s="87" t="s">
        <v>728</v>
      </c>
      <c r="G1055" s="88" t="s">
        <v>721</v>
      </c>
    </row>
    <row r="1056" spans="1:11" s="77" customFormat="1" ht="15" hidden="1" customHeight="1">
      <c r="A1056" s="83">
        <v>45902</v>
      </c>
      <c r="B1056" s="77" t="s">
        <v>588</v>
      </c>
      <c r="C1056" s="77" t="s">
        <v>717</v>
      </c>
      <c r="D1056" s="85" t="s">
        <v>718</v>
      </c>
      <c r="E1056" s="96" t="s">
        <v>719</v>
      </c>
      <c r="F1056" s="87" t="s">
        <v>728</v>
      </c>
      <c r="G1056" s="88" t="s">
        <v>721</v>
      </c>
    </row>
    <row r="1057" spans="1:11" s="77" customFormat="1" ht="15" hidden="1" customHeight="1">
      <c r="A1057" s="83">
        <v>45902</v>
      </c>
      <c r="B1057" s="77" t="s">
        <v>588</v>
      </c>
      <c r="C1057" s="77" t="s">
        <v>717</v>
      </c>
      <c r="D1057" s="85" t="s">
        <v>718</v>
      </c>
      <c r="E1057" s="86" t="s">
        <v>765</v>
      </c>
      <c r="F1057" s="87" t="s">
        <v>728</v>
      </c>
      <c r="G1057" s="88" t="s">
        <v>721</v>
      </c>
    </row>
    <row r="1058" spans="1:11" s="77" customFormat="1" ht="15" hidden="1" customHeight="1">
      <c r="A1058" s="83">
        <v>45902</v>
      </c>
      <c r="B1058" s="77" t="s">
        <v>588</v>
      </c>
      <c r="C1058" s="77" t="s">
        <v>717</v>
      </c>
      <c r="D1058" s="85" t="s">
        <v>718</v>
      </c>
      <c r="E1058" s="86" t="s">
        <v>766</v>
      </c>
      <c r="F1058" s="87" t="s">
        <v>728</v>
      </c>
      <c r="G1058" s="88" t="s">
        <v>721</v>
      </c>
    </row>
    <row r="1059" spans="1:11" s="77" customFormat="1" ht="15" hidden="1" customHeight="1">
      <c r="A1059" s="83">
        <v>45902</v>
      </c>
      <c r="B1059" s="77" t="s">
        <v>588</v>
      </c>
      <c r="C1059" s="77" t="s">
        <v>717</v>
      </c>
      <c r="D1059" s="85" t="s">
        <v>718</v>
      </c>
      <c r="E1059" s="86" t="s">
        <v>767</v>
      </c>
      <c r="F1059" s="87" t="s">
        <v>728</v>
      </c>
      <c r="G1059" s="88" t="s">
        <v>721</v>
      </c>
    </row>
    <row r="1060" spans="1:11" s="77" customFormat="1" ht="15" hidden="1" customHeight="1">
      <c r="A1060" s="83">
        <v>45902</v>
      </c>
      <c r="B1060" s="77" t="s">
        <v>588</v>
      </c>
      <c r="C1060" s="77" t="s">
        <v>717</v>
      </c>
      <c r="D1060" s="85" t="s">
        <v>718</v>
      </c>
      <c r="E1060" s="86" t="s">
        <v>768</v>
      </c>
      <c r="F1060" s="87" t="s">
        <v>728</v>
      </c>
      <c r="G1060" s="88" t="s">
        <v>721</v>
      </c>
    </row>
    <row r="1061" spans="1:11" s="77" customFormat="1" ht="15" hidden="1" customHeight="1">
      <c r="A1061" s="83">
        <v>45902</v>
      </c>
      <c r="B1061" s="77" t="s">
        <v>588</v>
      </c>
      <c r="C1061" s="77" t="s">
        <v>717</v>
      </c>
      <c r="D1061" s="85" t="s">
        <v>718</v>
      </c>
      <c r="E1061" s="86" t="s">
        <v>769</v>
      </c>
      <c r="F1061" s="87" t="s">
        <v>728</v>
      </c>
      <c r="G1061" s="88" t="s">
        <v>721</v>
      </c>
    </row>
    <row r="1062" spans="1:11" s="77" customFormat="1" ht="15" hidden="1" customHeight="1">
      <c r="A1062" s="83">
        <v>45902</v>
      </c>
      <c r="B1062" s="77" t="s">
        <v>588</v>
      </c>
      <c r="C1062" s="77" t="s">
        <v>717</v>
      </c>
      <c r="D1062" s="85" t="s">
        <v>718</v>
      </c>
      <c r="E1062" s="86" t="s">
        <v>770</v>
      </c>
      <c r="F1062" s="87" t="s">
        <v>728</v>
      </c>
      <c r="G1062" s="88" t="s">
        <v>721</v>
      </c>
    </row>
    <row r="1063" spans="1:11" s="77" customFormat="1" ht="15" hidden="1" customHeight="1">
      <c r="A1063" s="83">
        <v>45902</v>
      </c>
      <c r="B1063" s="77" t="s">
        <v>588</v>
      </c>
      <c r="C1063" s="77" t="s">
        <v>717</v>
      </c>
      <c r="D1063" s="85" t="s">
        <v>718</v>
      </c>
      <c r="E1063" s="86" t="s">
        <v>771</v>
      </c>
      <c r="F1063" s="87" t="s">
        <v>728</v>
      </c>
      <c r="G1063" s="88" t="s">
        <v>721</v>
      </c>
    </row>
    <row r="1064" spans="1:11" s="77" customFormat="1" ht="15" hidden="1" customHeight="1">
      <c r="A1064" s="83">
        <v>45902</v>
      </c>
      <c r="B1064" s="77" t="s">
        <v>588</v>
      </c>
      <c r="C1064" s="77" t="s">
        <v>717</v>
      </c>
      <c r="D1064" s="85" t="s">
        <v>718</v>
      </c>
      <c r="E1064" s="86" t="s">
        <v>772</v>
      </c>
      <c r="F1064" s="87" t="s">
        <v>728</v>
      </c>
      <c r="G1064" s="88" t="s">
        <v>721</v>
      </c>
    </row>
    <row r="1065" spans="1:11" s="77" customFormat="1" ht="15" hidden="1" customHeight="1">
      <c r="A1065" s="83">
        <v>45902</v>
      </c>
      <c r="B1065" s="77" t="s">
        <v>588</v>
      </c>
      <c r="C1065" s="77" t="s">
        <v>717</v>
      </c>
      <c r="D1065" s="85" t="s">
        <v>718</v>
      </c>
      <c r="E1065" s="96" t="s">
        <v>803</v>
      </c>
      <c r="F1065" s="87" t="s">
        <v>728</v>
      </c>
      <c r="G1065" s="88" t="s">
        <v>721</v>
      </c>
    </row>
    <row r="1066" spans="1:11" ht="15" customHeight="1">
      <c r="A1066" s="90">
        <v>45902</v>
      </c>
      <c r="B1066" s="101" t="s">
        <v>484</v>
      </c>
      <c r="C1066" s="78" t="s">
        <v>717</v>
      </c>
      <c r="D1066" s="91" t="s">
        <v>726</v>
      </c>
      <c r="E1066" s="100" t="s">
        <v>727</v>
      </c>
      <c r="F1066" s="80" t="s">
        <v>848</v>
      </c>
      <c r="G1066" s="94">
        <v>1856154</v>
      </c>
      <c r="H1066" s="78" t="s">
        <v>354</v>
      </c>
      <c r="I1066" s="78" t="s">
        <v>724</v>
      </c>
      <c r="J1066" s="78" t="s">
        <v>856</v>
      </c>
      <c r="K1066" s="78" t="s">
        <v>354</v>
      </c>
    </row>
    <row r="1067" spans="1:11" ht="15" customHeight="1">
      <c r="A1067" s="90">
        <v>45902</v>
      </c>
      <c r="B1067" s="101" t="s">
        <v>484</v>
      </c>
      <c r="C1067" s="78" t="s">
        <v>717</v>
      </c>
      <c r="D1067" s="91" t="s">
        <v>726</v>
      </c>
      <c r="E1067" s="78" t="s">
        <v>729</v>
      </c>
      <c r="F1067" s="80" t="s">
        <v>813</v>
      </c>
      <c r="G1067" s="94">
        <v>1856154</v>
      </c>
      <c r="H1067" s="78" t="s">
        <v>354</v>
      </c>
      <c r="I1067" s="78" t="s">
        <v>724</v>
      </c>
      <c r="J1067" s="78" t="s">
        <v>856</v>
      </c>
      <c r="K1067" s="78" t="s">
        <v>354</v>
      </c>
    </row>
    <row r="1068" spans="1:11" s="77" customFormat="1" ht="15" hidden="1" customHeight="1">
      <c r="A1068" s="83">
        <v>45902</v>
      </c>
      <c r="B1068" s="105" t="s">
        <v>484</v>
      </c>
      <c r="C1068" s="77" t="s">
        <v>717</v>
      </c>
      <c r="D1068" s="86" t="s">
        <v>726</v>
      </c>
      <c r="E1068" s="96" t="s">
        <v>730</v>
      </c>
      <c r="F1068" s="87" t="s">
        <v>728</v>
      </c>
      <c r="G1068" s="88" t="s">
        <v>721</v>
      </c>
    </row>
    <row r="1069" spans="1:11" s="77" customFormat="1" ht="15" hidden="1" customHeight="1">
      <c r="A1069" s="83">
        <v>45902</v>
      </c>
      <c r="B1069" s="105" t="s">
        <v>484</v>
      </c>
      <c r="C1069" s="77" t="s">
        <v>717</v>
      </c>
      <c r="D1069" s="86" t="s">
        <v>726</v>
      </c>
      <c r="E1069" s="96" t="s">
        <v>731</v>
      </c>
      <c r="F1069" s="87" t="s">
        <v>728</v>
      </c>
      <c r="G1069" s="88" t="s">
        <v>721</v>
      </c>
    </row>
    <row r="1070" spans="1:11" s="77" customFormat="1" ht="15" hidden="1" customHeight="1">
      <c r="A1070" s="83">
        <v>45902</v>
      </c>
      <c r="B1070" s="105" t="s">
        <v>484</v>
      </c>
      <c r="C1070" s="77" t="s">
        <v>717</v>
      </c>
      <c r="D1070" s="86" t="s">
        <v>726</v>
      </c>
      <c r="E1070" s="96" t="s">
        <v>732</v>
      </c>
      <c r="F1070" s="87" t="s">
        <v>728</v>
      </c>
      <c r="G1070" s="88" t="s">
        <v>721</v>
      </c>
    </row>
    <row r="1071" spans="1:11" s="77" customFormat="1" ht="15" hidden="1" customHeight="1">
      <c r="A1071" s="83">
        <v>45902</v>
      </c>
      <c r="B1071" s="105" t="s">
        <v>484</v>
      </c>
      <c r="C1071" s="77" t="s">
        <v>717</v>
      </c>
      <c r="D1071" s="86" t="s">
        <v>726</v>
      </c>
      <c r="E1071" s="96" t="s">
        <v>733</v>
      </c>
      <c r="F1071" s="87" t="s">
        <v>728</v>
      </c>
      <c r="G1071" s="88" t="s">
        <v>721</v>
      </c>
    </row>
    <row r="1072" spans="1:11" ht="15" customHeight="1">
      <c r="A1072" s="90">
        <v>45902</v>
      </c>
      <c r="B1072" s="101" t="s">
        <v>484</v>
      </c>
      <c r="C1072" s="78" t="s">
        <v>717</v>
      </c>
      <c r="D1072" s="91" t="s">
        <v>726</v>
      </c>
      <c r="E1072" s="78" t="s">
        <v>734</v>
      </c>
      <c r="F1072" s="80" t="s">
        <v>850</v>
      </c>
      <c r="G1072" s="94">
        <v>1856154</v>
      </c>
      <c r="H1072" s="78" t="s">
        <v>354</v>
      </c>
      <c r="I1072" s="78" t="s">
        <v>724</v>
      </c>
      <c r="J1072" s="78" t="s">
        <v>856</v>
      </c>
      <c r="K1072" s="78" t="s">
        <v>354</v>
      </c>
    </row>
    <row r="1073" spans="1:11" s="77" customFormat="1" ht="15" hidden="1" customHeight="1">
      <c r="A1073" s="83">
        <v>45902</v>
      </c>
      <c r="B1073" s="105" t="s">
        <v>484</v>
      </c>
      <c r="C1073" s="77" t="s">
        <v>717</v>
      </c>
      <c r="D1073" s="86" t="s">
        <v>726</v>
      </c>
      <c r="E1073" s="96" t="s">
        <v>735</v>
      </c>
      <c r="F1073" s="87" t="s">
        <v>728</v>
      </c>
      <c r="G1073" s="88" t="s">
        <v>721</v>
      </c>
    </row>
    <row r="1074" spans="1:11" s="77" customFormat="1" ht="15" hidden="1" customHeight="1">
      <c r="A1074" s="83">
        <v>45902</v>
      </c>
      <c r="B1074" s="105" t="s">
        <v>484</v>
      </c>
      <c r="C1074" s="77" t="s">
        <v>717</v>
      </c>
      <c r="D1074" s="86" t="s">
        <v>736</v>
      </c>
      <c r="E1074" s="96" t="s">
        <v>737</v>
      </c>
      <c r="F1074" s="87" t="s">
        <v>801</v>
      </c>
      <c r="G1074" s="88" t="s">
        <v>721</v>
      </c>
    </row>
    <row r="1075" spans="1:11" s="77" customFormat="1" ht="15" hidden="1" customHeight="1">
      <c r="A1075" s="83">
        <v>45902</v>
      </c>
      <c r="B1075" s="105" t="s">
        <v>484</v>
      </c>
      <c r="C1075" s="77" t="s">
        <v>717</v>
      </c>
      <c r="D1075" s="86" t="s">
        <v>736</v>
      </c>
      <c r="E1075" s="96" t="s">
        <v>738</v>
      </c>
      <c r="F1075" s="87" t="s">
        <v>801</v>
      </c>
      <c r="G1075" s="88" t="s">
        <v>721</v>
      </c>
    </row>
    <row r="1076" spans="1:11" s="77" customFormat="1" ht="15" hidden="1" customHeight="1">
      <c r="A1076" s="83">
        <v>45902</v>
      </c>
      <c r="B1076" s="105" t="s">
        <v>484</v>
      </c>
      <c r="C1076" s="77" t="s">
        <v>717</v>
      </c>
      <c r="D1076" s="85" t="s">
        <v>739</v>
      </c>
      <c r="E1076" s="96" t="s">
        <v>740</v>
      </c>
      <c r="F1076" s="87" t="s">
        <v>728</v>
      </c>
      <c r="G1076" s="88" t="s">
        <v>721</v>
      </c>
    </row>
    <row r="1077" spans="1:11" s="77" customFormat="1" ht="15" hidden="1" customHeight="1">
      <c r="A1077" s="83">
        <v>45902</v>
      </c>
      <c r="B1077" s="105" t="s">
        <v>484</v>
      </c>
      <c r="C1077" s="77" t="s">
        <v>717</v>
      </c>
      <c r="D1077" s="85" t="s">
        <v>739</v>
      </c>
      <c r="E1077" s="96" t="s">
        <v>741</v>
      </c>
      <c r="F1077" s="87" t="s">
        <v>728</v>
      </c>
      <c r="G1077" s="88" t="s">
        <v>721</v>
      </c>
    </row>
    <row r="1078" spans="1:11" s="77" customFormat="1" ht="15" hidden="1" customHeight="1">
      <c r="A1078" s="83">
        <v>45902</v>
      </c>
      <c r="B1078" s="105" t="s">
        <v>484</v>
      </c>
      <c r="C1078" s="77" t="s">
        <v>717</v>
      </c>
      <c r="D1078" s="85" t="s">
        <v>739</v>
      </c>
      <c r="E1078" s="96" t="s">
        <v>743</v>
      </c>
      <c r="F1078" s="87" t="s">
        <v>728</v>
      </c>
      <c r="G1078" s="88" t="s">
        <v>721</v>
      </c>
    </row>
    <row r="1079" spans="1:11" ht="15" customHeight="1">
      <c r="A1079" s="90">
        <v>45902</v>
      </c>
      <c r="B1079" s="101" t="s">
        <v>484</v>
      </c>
      <c r="C1079" s="78" t="s">
        <v>717</v>
      </c>
      <c r="D1079" s="92" t="s">
        <v>744</v>
      </c>
      <c r="E1079" s="78" t="s">
        <v>745</v>
      </c>
      <c r="F1079" s="80" t="s">
        <v>851</v>
      </c>
      <c r="G1079" s="94">
        <v>1856154</v>
      </c>
      <c r="H1079" s="78" t="s">
        <v>354</v>
      </c>
      <c r="I1079" s="78" t="s">
        <v>724</v>
      </c>
      <c r="J1079" s="78" t="s">
        <v>856</v>
      </c>
      <c r="K1079" s="78" t="s">
        <v>354</v>
      </c>
    </row>
    <row r="1080" spans="1:11" ht="15" customHeight="1">
      <c r="A1080" s="90">
        <v>45902</v>
      </c>
      <c r="B1080" s="101" t="s">
        <v>484</v>
      </c>
      <c r="C1080" s="78" t="s">
        <v>717</v>
      </c>
      <c r="D1080" s="92" t="s">
        <v>744</v>
      </c>
      <c r="E1080" s="78" t="s">
        <v>746</v>
      </c>
      <c r="F1080" s="80" t="s">
        <v>852</v>
      </c>
      <c r="G1080" s="94">
        <v>1856154</v>
      </c>
      <c r="H1080" s="78" t="s">
        <v>354</v>
      </c>
      <c r="I1080" s="78" t="s">
        <v>724</v>
      </c>
      <c r="J1080" s="78" t="s">
        <v>856</v>
      </c>
      <c r="K1080" s="78" t="s">
        <v>354</v>
      </c>
    </row>
    <row r="1081" spans="1:11" ht="15" customHeight="1">
      <c r="A1081" s="90">
        <v>45902</v>
      </c>
      <c r="B1081" s="101" t="s">
        <v>484</v>
      </c>
      <c r="C1081" s="78" t="s">
        <v>717</v>
      </c>
      <c r="D1081" s="92" t="s">
        <v>744</v>
      </c>
      <c r="E1081" s="78" t="s">
        <v>747</v>
      </c>
      <c r="F1081" s="80" t="s">
        <v>853</v>
      </c>
      <c r="G1081" s="94">
        <v>1856154</v>
      </c>
      <c r="H1081" s="78" t="s">
        <v>354</v>
      </c>
      <c r="I1081" s="78" t="s">
        <v>724</v>
      </c>
      <c r="J1081" s="78" t="s">
        <v>856</v>
      </c>
      <c r="K1081" s="78" t="s">
        <v>354</v>
      </c>
    </row>
    <row r="1082" spans="1:11" s="77" customFormat="1" ht="15" hidden="1" customHeight="1">
      <c r="A1082" s="83">
        <v>45902</v>
      </c>
      <c r="B1082" s="105" t="s">
        <v>484</v>
      </c>
      <c r="C1082" s="77" t="s">
        <v>717</v>
      </c>
      <c r="D1082" s="85" t="s">
        <v>744</v>
      </c>
      <c r="E1082" s="96" t="s">
        <v>748</v>
      </c>
      <c r="F1082" s="87" t="s">
        <v>801</v>
      </c>
      <c r="G1082" s="88" t="s">
        <v>721</v>
      </c>
    </row>
    <row r="1083" spans="1:11" s="77" customFormat="1" ht="15" hidden="1" customHeight="1">
      <c r="A1083" s="83">
        <v>45902</v>
      </c>
      <c r="B1083" s="105" t="s">
        <v>484</v>
      </c>
      <c r="C1083" s="77" t="s">
        <v>717</v>
      </c>
      <c r="D1083" s="85" t="s">
        <v>744</v>
      </c>
      <c r="E1083" s="96" t="s">
        <v>749</v>
      </c>
      <c r="F1083" s="87" t="s">
        <v>728</v>
      </c>
      <c r="G1083" s="88" t="s">
        <v>721</v>
      </c>
    </row>
    <row r="1084" spans="1:11" ht="15" customHeight="1">
      <c r="A1084" s="90">
        <v>45902</v>
      </c>
      <c r="B1084" s="101" t="s">
        <v>484</v>
      </c>
      <c r="C1084" s="78" t="s">
        <v>717</v>
      </c>
      <c r="D1084" s="92" t="s">
        <v>750</v>
      </c>
      <c r="E1084" s="78" t="s">
        <v>751</v>
      </c>
      <c r="F1084" s="80" t="s">
        <v>857</v>
      </c>
      <c r="G1084" s="94">
        <v>1856154</v>
      </c>
      <c r="H1084" s="78" t="s">
        <v>354</v>
      </c>
      <c r="I1084" s="78" t="s">
        <v>724</v>
      </c>
      <c r="J1084" s="78" t="s">
        <v>856</v>
      </c>
      <c r="K1084" s="78" t="s">
        <v>354</v>
      </c>
    </row>
    <row r="1085" spans="1:11" s="77" customFormat="1" ht="15" hidden="1" customHeight="1">
      <c r="A1085" s="83">
        <v>45902</v>
      </c>
      <c r="B1085" s="105" t="s">
        <v>484</v>
      </c>
      <c r="C1085" s="77" t="s">
        <v>717</v>
      </c>
      <c r="D1085" s="85" t="s">
        <v>750</v>
      </c>
      <c r="E1085" s="96" t="s">
        <v>752</v>
      </c>
      <c r="F1085" s="87" t="s">
        <v>728</v>
      </c>
      <c r="G1085" s="88" t="s">
        <v>721</v>
      </c>
    </row>
    <row r="1086" spans="1:11" s="77" customFormat="1" ht="15" hidden="1" customHeight="1">
      <c r="A1086" s="83">
        <v>45902</v>
      </c>
      <c r="B1086" s="105" t="s">
        <v>484</v>
      </c>
      <c r="C1086" s="77" t="s">
        <v>717</v>
      </c>
      <c r="D1086" s="85" t="s">
        <v>750</v>
      </c>
      <c r="E1086" s="96" t="s">
        <v>753</v>
      </c>
      <c r="F1086" s="87" t="s">
        <v>728</v>
      </c>
      <c r="G1086" s="88" t="s">
        <v>721</v>
      </c>
    </row>
    <row r="1087" spans="1:11" s="77" customFormat="1" ht="15" hidden="1" customHeight="1">
      <c r="A1087" s="83">
        <v>45902</v>
      </c>
      <c r="B1087" s="105" t="s">
        <v>484</v>
      </c>
      <c r="C1087" s="77" t="s">
        <v>717</v>
      </c>
      <c r="D1087" s="85" t="s">
        <v>750</v>
      </c>
      <c r="E1087" s="96" t="s">
        <v>754</v>
      </c>
      <c r="F1087" s="87" t="s">
        <v>728</v>
      </c>
      <c r="G1087" s="88" t="s">
        <v>721</v>
      </c>
    </row>
    <row r="1088" spans="1:11" s="77" customFormat="1" ht="15" hidden="1" customHeight="1">
      <c r="A1088" s="83">
        <v>45902</v>
      </c>
      <c r="B1088" s="105" t="s">
        <v>484</v>
      </c>
      <c r="C1088" s="77" t="s">
        <v>717</v>
      </c>
      <c r="D1088" s="85" t="s">
        <v>755</v>
      </c>
      <c r="E1088" s="86" t="s">
        <v>756</v>
      </c>
      <c r="F1088" s="87" t="s">
        <v>802</v>
      </c>
      <c r="G1088" s="88" t="s">
        <v>721</v>
      </c>
    </row>
    <row r="1089" spans="1:11" s="77" customFormat="1" ht="15" hidden="1" customHeight="1">
      <c r="A1089" s="83">
        <v>45902</v>
      </c>
      <c r="B1089" s="105" t="s">
        <v>484</v>
      </c>
      <c r="C1089" s="77" t="s">
        <v>717</v>
      </c>
      <c r="D1089" s="85" t="s">
        <v>755</v>
      </c>
      <c r="E1089" s="96" t="s">
        <v>757</v>
      </c>
      <c r="F1089" s="87" t="s">
        <v>802</v>
      </c>
      <c r="G1089" s="88" t="s">
        <v>721</v>
      </c>
    </row>
    <row r="1090" spans="1:11" s="77" customFormat="1" ht="15" hidden="1" customHeight="1">
      <c r="A1090" s="83">
        <v>45902</v>
      </c>
      <c r="B1090" s="105" t="s">
        <v>484</v>
      </c>
      <c r="C1090" s="77" t="s">
        <v>717</v>
      </c>
      <c r="D1090" s="85" t="s">
        <v>758</v>
      </c>
      <c r="E1090" s="96" t="s">
        <v>759</v>
      </c>
      <c r="F1090" s="87" t="s">
        <v>728</v>
      </c>
      <c r="G1090" s="88" t="s">
        <v>721</v>
      </c>
    </row>
    <row r="1091" spans="1:11" s="77" customFormat="1" ht="15" hidden="1" customHeight="1">
      <c r="A1091" s="83">
        <v>45902</v>
      </c>
      <c r="B1091" s="105" t="s">
        <v>484</v>
      </c>
      <c r="C1091" s="77" t="s">
        <v>717</v>
      </c>
      <c r="D1091" s="85" t="s">
        <v>758</v>
      </c>
      <c r="E1091" s="96" t="s">
        <v>760</v>
      </c>
      <c r="F1091" s="87" t="s">
        <v>728</v>
      </c>
      <c r="G1091" s="88" t="s">
        <v>721</v>
      </c>
    </row>
    <row r="1092" spans="1:11" s="77" customFormat="1" ht="15" hidden="1" customHeight="1">
      <c r="A1092" s="83">
        <v>45902</v>
      </c>
      <c r="B1092" s="105" t="s">
        <v>484</v>
      </c>
      <c r="C1092" s="77" t="s">
        <v>717</v>
      </c>
      <c r="D1092" s="85" t="s">
        <v>758</v>
      </c>
      <c r="E1092" s="96" t="s">
        <v>761</v>
      </c>
      <c r="F1092" s="87" t="s">
        <v>728</v>
      </c>
      <c r="G1092" s="88" t="s">
        <v>721</v>
      </c>
    </row>
    <row r="1093" spans="1:11" ht="15" customHeight="1">
      <c r="A1093" s="90">
        <v>45902</v>
      </c>
      <c r="B1093" s="101" t="s">
        <v>484</v>
      </c>
      <c r="C1093" s="78" t="s">
        <v>717</v>
      </c>
      <c r="D1093" s="92" t="s">
        <v>758</v>
      </c>
      <c r="E1093" s="78" t="s">
        <v>762</v>
      </c>
      <c r="F1093" s="80" t="s">
        <v>855</v>
      </c>
      <c r="G1093" s="94">
        <v>1856154</v>
      </c>
      <c r="H1093" s="78" t="s">
        <v>354</v>
      </c>
      <c r="I1093" s="78" t="s">
        <v>724</v>
      </c>
      <c r="J1093" s="78" t="s">
        <v>856</v>
      </c>
      <c r="K1093" s="78" t="s">
        <v>354</v>
      </c>
    </row>
    <row r="1094" spans="1:11" s="77" customFormat="1" ht="15" hidden="1" customHeight="1">
      <c r="A1094" s="83">
        <v>45902</v>
      </c>
      <c r="B1094" s="105" t="s">
        <v>484</v>
      </c>
      <c r="C1094" s="77" t="s">
        <v>717</v>
      </c>
      <c r="D1094" s="85" t="s">
        <v>758</v>
      </c>
      <c r="E1094" s="96" t="s">
        <v>763</v>
      </c>
      <c r="F1094" s="87" t="s">
        <v>728</v>
      </c>
      <c r="G1094" s="88" t="s">
        <v>721</v>
      </c>
    </row>
    <row r="1095" spans="1:11" s="77" customFormat="1" ht="15" hidden="1" customHeight="1">
      <c r="A1095" s="83">
        <v>45902</v>
      </c>
      <c r="B1095" s="105" t="s">
        <v>484</v>
      </c>
      <c r="C1095" s="77" t="s">
        <v>717</v>
      </c>
      <c r="D1095" s="85" t="s">
        <v>758</v>
      </c>
      <c r="E1095" s="96" t="s">
        <v>764</v>
      </c>
      <c r="F1095" s="87" t="s">
        <v>728</v>
      </c>
      <c r="G1095" s="88" t="s">
        <v>721</v>
      </c>
    </row>
    <row r="1096" spans="1:11" s="77" customFormat="1" ht="15" hidden="1" customHeight="1">
      <c r="A1096" s="83">
        <v>45902</v>
      </c>
      <c r="B1096" s="105" t="s">
        <v>484</v>
      </c>
      <c r="C1096" s="77" t="s">
        <v>717</v>
      </c>
      <c r="D1096" s="85" t="s">
        <v>718</v>
      </c>
      <c r="E1096" s="96" t="s">
        <v>719</v>
      </c>
      <c r="F1096" s="87" t="s">
        <v>728</v>
      </c>
      <c r="G1096" s="88" t="s">
        <v>721</v>
      </c>
    </row>
    <row r="1097" spans="1:11" s="77" customFormat="1" ht="15" hidden="1" customHeight="1">
      <c r="A1097" s="83">
        <v>45902</v>
      </c>
      <c r="B1097" s="105" t="s">
        <v>484</v>
      </c>
      <c r="C1097" s="77" t="s">
        <v>717</v>
      </c>
      <c r="D1097" s="85" t="s">
        <v>718</v>
      </c>
      <c r="E1097" s="86" t="s">
        <v>765</v>
      </c>
      <c r="F1097" s="87" t="s">
        <v>728</v>
      </c>
      <c r="G1097" s="88" t="s">
        <v>721</v>
      </c>
    </row>
    <row r="1098" spans="1:11" s="77" customFormat="1" ht="15" hidden="1" customHeight="1">
      <c r="A1098" s="83">
        <v>45902</v>
      </c>
      <c r="B1098" s="105" t="s">
        <v>484</v>
      </c>
      <c r="C1098" s="77" t="s">
        <v>717</v>
      </c>
      <c r="D1098" s="85" t="s">
        <v>718</v>
      </c>
      <c r="E1098" s="86" t="s">
        <v>766</v>
      </c>
      <c r="F1098" s="87" t="s">
        <v>728</v>
      </c>
      <c r="G1098" s="88" t="s">
        <v>721</v>
      </c>
    </row>
    <row r="1099" spans="1:11" s="77" customFormat="1" ht="15" hidden="1" customHeight="1">
      <c r="A1099" s="83">
        <v>45902</v>
      </c>
      <c r="B1099" s="105" t="s">
        <v>484</v>
      </c>
      <c r="C1099" s="77" t="s">
        <v>717</v>
      </c>
      <c r="D1099" s="85" t="s">
        <v>718</v>
      </c>
      <c r="E1099" s="86" t="s">
        <v>767</v>
      </c>
      <c r="F1099" s="87" t="s">
        <v>728</v>
      </c>
      <c r="G1099" s="88" t="s">
        <v>721</v>
      </c>
    </row>
    <row r="1100" spans="1:11" s="77" customFormat="1" ht="15" hidden="1" customHeight="1">
      <c r="A1100" s="83">
        <v>45902</v>
      </c>
      <c r="B1100" s="105" t="s">
        <v>484</v>
      </c>
      <c r="C1100" s="77" t="s">
        <v>717</v>
      </c>
      <c r="D1100" s="85" t="s">
        <v>718</v>
      </c>
      <c r="E1100" s="86" t="s">
        <v>768</v>
      </c>
      <c r="F1100" s="87" t="s">
        <v>728</v>
      </c>
      <c r="G1100" s="88" t="s">
        <v>721</v>
      </c>
    </row>
    <row r="1101" spans="1:11" s="77" customFormat="1" ht="15" hidden="1" customHeight="1">
      <c r="A1101" s="83">
        <v>45902</v>
      </c>
      <c r="B1101" s="105" t="s">
        <v>484</v>
      </c>
      <c r="C1101" s="77" t="s">
        <v>717</v>
      </c>
      <c r="D1101" s="85" t="s">
        <v>718</v>
      </c>
      <c r="E1101" s="86" t="s">
        <v>769</v>
      </c>
      <c r="F1101" s="87" t="s">
        <v>728</v>
      </c>
      <c r="G1101" s="88" t="s">
        <v>721</v>
      </c>
    </row>
    <row r="1102" spans="1:11" s="77" customFormat="1" ht="15" hidden="1" customHeight="1">
      <c r="A1102" s="83">
        <v>45902</v>
      </c>
      <c r="B1102" s="105" t="s">
        <v>484</v>
      </c>
      <c r="C1102" s="77" t="s">
        <v>717</v>
      </c>
      <c r="D1102" s="85" t="s">
        <v>718</v>
      </c>
      <c r="E1102" s="86" t="s">
        <v>770</v>
      </c>
      <c r="F1102" s="87" t="s">
        <v>728</v>
      </c>
      <c r="G1102" s="88" t="s">
        <v>721</v>
      </c>
    </row>
    <row r="1103" spans="1:11" s="77" customFormat="1" ht="15" hidden="1" customHeight="1">
      <c r="A1103" s="83">
        <v>45902</v>
      </c>
      <c r="B1103" s="105" t="s">
        <v>484</v>
      </c>
      <c r="C1103" s="77" t="s">
        <v>717</v>
      </c>
      <c r="D1103" s="85" t="s">
        <v>718</v>
      </c>
      <c r="E1103" s="86" t="s">
        <v>771</v>
      </c>
      <c r="F1103" s="87" t="s">
        <v>728</v>
      </c>
      <c r="G1103" s="88" t="s">
        <v>721</v>
      </c>
    </row>
    <row r="1104" spans="1:11" s="77" customFormat="1" ht="15" hidden="1" customHeight="1">
      <c r="A1104" s="83">
        <v>45902</v>
      </c>
      <c r="B1104" s="105" t="s">
        <v>484</v>
      </c>
      <c r="C1104" s="77" t="s">
        <v>717</v>
      </c>
      <c r="D1104" s="85" t="s">
        <v>718</v>
      </c>
      <c r="E1104" s="86" t="s">
        <v>772</v>
      </c>
      <c r="F1104" s="87" t="s">
        <v>728</v>
      </c>
      <c r="G1104" s="88" t="s">
        <v>721</v>
      </c>
    </row>
    <row r="1105" spans="1:11" s="77" customFormat="1" ht="15" hidden="1" customHeight="1">
      <c r="A1105" s="83">
        <v>45902</v>
      </c>
      <c r="B1105" s="105" t="s">
        <v>484</v>
      </c>
      <c r="C1105" s="77" t="s">
        <v>717</v>
      </c>
      <c r="D1105" s="85" t="s">
        <v>718</v>
      </c>
      <c r="E1105" s="96" t="s">
        <v>803</v>
      </c>
      <c r="F1105" s="87" t="s">
        <v>728</v>
      </c>
      <c r="G1105" s="88" t="s">
        <v>721</v>
      </c>
    </row>
    <row r="1106" spans="1:11" s="77" customFormat="1" ht="15" hidden="1" customHeight="1">
      <c r="A1106" s="83">
        <v>45902</v>
      </c>
      <c r="B1106" s="77" t="s">
        <v>352</v>
      </c>
      <c r="C1106" s="77" t="s">
        <v>717</v>
      </c>
      <c r="D1106" s="86" t="s">
        <v>726</v>
      </c>
      <c r="E1106" s="95" t="s">
        <v>727</v>
      </c>
      <c r="F1106" s="87" t="s">
        <v>728</v>
      </c>
      <c r="G1106" s="88" t="s">
        <v>721</v>
      </c>
    </row>
    <row r="1107" spans="1:11" s="77" customFormat="1" ht="15" hidden="1" customHeight="1">
      <c r="A1107" s="83">
        <v>45902</v>
      </c>
      <c r="B1107" s="77" t="s">
        <v>352</v>
      </c>
      <c r="C1107" s="77" t="s">
        <v>717</v>
      </c>
      <c r="D1107" s="86" t="s">
        <v>726</v>
      </c>
      <c r="E1107" s="96" t="s">
        <v>729</v>
      </c>
      <c r="F1107" s="87" t="s">
        <v>728</v>
      </c>
      <c r="G1107" s="88" t="s">
        <v>721</v>
      </c>
    </row>
    <row r="1108" spans="1:11" s="77" customFormat="1" ht="15" hidden="1" customHeight="1">
      <c r="A1108" s="83">
        <v>45902</v>
      </c>
      <c r="B1108" s="77" t="s">
        <v>352</v>
      </c>
      <c r="C1108" s="77" t="s">
        <v>717</v>
      </c>
      <c r="D1108" s="86" t="s">
        <v>726</v>
      </c>
      <c r="E1108" s="96" t="s">
        <v>730</v>
      </c>
      <c r="F1108" s="87" t="s">
        <v>728</v>
      </c>
      <c r="G1108" s="88" t="s">
        <v>721</v>
      </c>
    </row>
    <row r="1109" spans="1:11" s="77" customFormat="1" ht="15" hidden="1" customHeight="1">
      <c r="A1109" s="83">
        <v>45902</v>
      </c>
      <c r="B1109" s="77" t="s">
        <v>352</v>
      </c>
      <c r="C1109" s="77" t="s">
        <v>717</v>
      </c>
      <c r="D1109" s="86" t="s">
        <v>726</v>
      </c>
      <c r="E1109" s="96" t="s">
        <v>731</v>
      </c>
      <c r="F1109" s="87" t="s">
        <v>728</v>
      </c>
      <c r="G1109" s="88" t="s">
        <v>721</v>
      </c>
    </row>
    <row r="1110" spans="1:11" s="77" customFormat="1" ht="15" hidden="1" customHeight="1">
      <c r="A1110" s="83">
        <v>45902</v>
      </c>
      <c r="B1110" s="77" t="s">
        <v>352</v>
      </c>
      <c r="C1110" s="77" t="s">
        <v>717</v>
      </c>
      <c r="D1110" s="86" t="s">
        <v>726</v>
      </c>
      <c r="E1110" s="96" t="s">
        <v>732</v>
      </c>
      <c r="F1110" s="87" t="s">
        <v>728</v>
      </c>
      <c r="G1110" s="88" t="s">
        <v>721</v>
      </c>
    </row>
    <row r="1111" spans="1:11" s="77" customFormat="1" ht="15" hidden="1" customHeight="1">
      <c r="A1111" s="83">
        <v>45902</v>
      </c>
      <c r="B1111" s="77" t="s">
        <v>352</v>
      </c>
      <c r="C1111" s="77" t="s">
        <v>717</v>
      </c>
      <c r="D1111" s="86" t="s">
        <v>726</v>
      </c>
      <c r="E1111" s="96" t="s">
        <v>733</v>
      </c>
      <c r="F1111" s="87" t="s">
        <v>728</v>
      </c>
      <c r="G1111" s="88" t="s">
        <v>721</v>
      </c>
    </row>
    <row r="1112" spans="1:11" ht="15" customHeight="1">
      <c r="A1112" s="90">
        <v>45902</v>
      </c>
      <c r="B1112" s="78" t="s">
        <v>352</v>
      </c>
      <c r="C1112" s="78" t="s">
        <v>717</v>
      </c>
      <c r="D1112" s="91" t="s">
        <v>726</v>
      </c>
      <c r="E1112" s="78" t="s">
        <v>734</v>
      </c>
      <c r="F1112" s="80" t="s">
        <v>805</v>
      </c>
      <c r="G1112" s="94">
        <v>1856141</v>
      </c>
      <c r="H1112" s="78" t="s">
        <v>354</v>
      </c>
      <c r="I1112" s="78" t="s">
        <v>724</v>
      </c>
      <c r="J1112" s="78" t="s">
        <v>725</v>
      </c>
      <c r="K1112" s="78" t="s">
        <v>354</v>
      </c>
    </row>
    <row r="1113" spans="1:11" s="77" customFormat="1" ht="15" hidden="1" customHeight="1">
      <c r="A1113" s="83">
        <v>45902</v>
      </c>
      <c r="B1113" s="77" t="s">
        <v>352</v>
      </c>
      <c r="C1113" s="77" t="s">
        <v>717</v>
      </c>
      <c r="D1113" s="86" t="s">
        <v>726</v>
      </c>
      <c r="E1113" s="96" t="s">
        <v>735</v>
      </c>
      <c r="F1113" s="87" t="s">
        <v>728</v>
      </c>
      <c r="G1113" s="88" t="s">
        <v>721</v>
      </c>
    </row>
    <row r="1114" spans="1:11" s="77" customFormat="1" ht="15" hidden="1" customHeight="1">
      <c r="A1114" s="83">
        <v>45902</v>
      </c>
      <c r="B1114" s="77" t="s">
        <v>352</v>
      </c>
      <c r="C1114" s="77" t="s">
        <v>717</v>
      </c>
      <c r="D1114" s="86" t="s">
        <v>736</v>
      </c>
      <c r="E1114" s="96" t="s">
        <v>737</v>
      </c>
      <c r="F1114" s="87" t="s">
        <v>801</v>
      </c>
      <c r="G1114" s="88" t="s">
        <v>721</v>
      </c>
    </row>
    <row r="1115" spans="1:11" s="77" customFormat="1" ht="15" hidden="1" customHeight="1">
      <c r="A1115" s="83">
        <v>45902</v>
      </c>
      <c r="B1115" s="77" t="s">
        <v>352</v>
      </c>
      <c r="C1115" s="77" t="s">
        <v>717</v>
      </c>
      <c r="D1115" s="86" t="s">
        <v>736</v>
      </c>
      <c r="E1115" s="96" t="s">
        <v>738</v>
      </c>
      <c r="F1115" s="87" t="s">
        <v>801</v>
      </c>
      <c r="G1115" s="88" t="s">
        <v>721</v>
      </c>
    </row>
    <row r="1116" spans="1:11" s="77" customFormat="1" ht="15" hidden="1" customHeight="1">
      <c r="A1116" s="83">
        <v>45902</v>
      </c>
      <c r="B1116" s="77" t="s">
        <v>352</v>
      </c>
      <c r="C1116" s="77" t="s">
        <v>717</v>
      </c>
      <c r="D1116" s="85" t="s">
        <v>739</v>
      </c>
      <c r="E1116" s="96" t="s">
        <v>740</v>
      </c>
      <c r="F1116" s="87" t="s">
        <v>728</v>
      </c>
      <c r="G1116" s="88" t="s">
        <v>721</v>
      </c>
    </row>
    <row r="1117" spans="1:11" s="77" customFormat="1" ht="15" hidden="1" customHeight="1">
      <c r="A1117" s="83">
        <v>45902</v>
      </c>
      <c r="B1117" s="77" t="s">
        <v>352</v>
      </c>
      <c r="C1117" s="77" t="s">
        <v>717</v>
      </c>
      <c r="D1117" s="85" t="s">
        <v>739</v>
      </c>
      <c r="E1117" s="96" t="s">
        <v>741</v>
      </c>
      <c r="F1117" s="87" t="s">
        <v>728</v>
      </c>
      <c r="G1117" s="88" t="s">
        <v>721</v>
      </c>
    </row>
    <row r="1118" spans="1:11" s="77" customFormat="1" ht="15" hidden="1" customHeight="1">
      <c r="A1118" s="83">
        <v>45902</v>
      </c>
      <c r="B1118" s="77" t="s">
        <v>352</v>
      </c>
      <c r="C1118" s="77" t="s">
        <v>717</v>
      </c>
      <c r="D1118" s="85" t="s">
        <v>739</v>
      </c>
      <c r="E1118" s="96" t="s">
        <v>743</v>
      </c>
      <c r="F1118" s="87" t="s">
        <v>728</v>
      </c>
      <c r="G1118" s="88" t="s">
        <v>721</v>
      </c>
    </row>
    <row r="1119" spans="1:11" ht="15" customHeight="1">
      <c r="A1119" s="90">
        <v>45902</v>
      </c>
      <c r="B1119" s="78" t="s">
        <v>352</v>
      </c>
      <c r="C1119" s="78" t="s">
        <v>717</v>
      </c>
      <c r="D1119" s="92" t="s">
        <v>744</v>
      </c>
      <c r="E1119" s="78" t="s">
        <v>745</v>
      </c>
      <c r="F1119" s="80" t="s">
        <v>858</v>
      </c>
      <c r="G1119" s="94">
        <v>1856141</v>
      </c>
      <c r="H1119" s="78" t="s">
        <v>354</v>
      </c>
      <c r="I1119" s="78" t="s">
        <v>724</v>
      </c>
      <c r="J1119" s="78" t="s">
        <v>725</v>
      </c>
      <c r="K1119" s="78" t="s">
        <v>354</v>
      </c>
    </row>
    <row r="1120" spans="1:11" s="77" customFormat="1" ht="15" hidden="1" customHeight="1">
      <c r="A1120" s="83">
        <v>45902</v>
      </c>
      <c r="B1120" s="77" t="s">
        <v>352</v>
      </c>
      <c r="C1120" s="77" t="s">
        <v>717</v>
      </c>
      <c r="D1120" s="85" t="s">
        <v>744</v>
      </c>
      <c r="E1120" s="96" t="s">
        <v>746</v>
      </c>
      <c r="F1120" s="87" t="s">
        <v>728</v>
      </c>
      <c r="G1120" s="88" t="s">
        <v>721</v>
      </c>
    </row>
    <row r="1121" spans="1:11" s="77" customFormat="1" ht="15" hidden="1" customHeight="1">
      <c r="A1121" s="83">
        <v>45902</v>
      </c>
      <c r="B1121" s="77" t="s">
        <v>352</v>
      </c>
      <c r="C1121" s="77" t="s">
        <v>717</v>
      </c>
      <c r="D1121" s="85" t="s">
        <v>744</v>
      </c>
      <c r="E1121" s="96" t="s">
        <v>747</v>
      </c>
      <c r="F1121" s="87" t="s">
        <v>801</v>
      </c>
      <c r="G1121" s="88" t="s">
        <v>721</v>
      </c>
    </row>
    <row r="1122" spans="1:11" s="77" customFormat="1" ht="15" hidden="1" customHeight="1">
      <c r="A1122" s="83">
        <v>45902</v>
      </c>
      <c r="B1122" s="77" t="s">
        <v>352</v>
      </c>
      <c r="C1122" s="77" t="s">
        <v>717</v>
      </c>
      <c r="D1122" s="85" t="s">
        <v>744</v>
      </c>
      <c r="E1122" s="96" t="s">
        <v>748</v>
      </c>
      <c r="F1122" s="87" t="s">
        <v>801</v>
      </c>
      <c r="G1122" s="88" t="s">
        <v>721</v>
      </c>
    </row>
    <row r="1123" spans="1:11" s="77" customFormat="1" ht="15" hidden="1" customHeight="1">
      <c r="A1123" s="83">
        <v>45902</v>
      </c>
      <c r="B1123" s="77" t="s">
        <v>352</v>
      </c>
      <c r="C1123" s="77" t="s">
        <v>717</v>
      </c>
      <c r="D1123" s="85" t="s">
        <v>744</v>
      </c>
      <c r="E1123" s="96" t="s">
        <v>749</v>
      </c>
      <c r="F1123" s="87" t="s">
        <v>801</v>
      </c>
      <c r="G1123" s="88" t="s">
        <v>721</v>
      </c>
    </row>
    <row r="1124" spans="1:11" ht="15" customHeight="1">
      <c r="A1124" s="90">
        <v>45902</v>
      </c>
      <c r="B1124" s="78" t="s">
        <v>352</v>
      </c>
      <c r="C1124" s="78" t="s">
        <v>717</v>
      </c>
      <c r="D1124" s="92" t="s">
        <v>750</v>
      </c>
      <c r="E1124" s="78" t="s">
        <v>751</v>
      </c>
      <c r="F1124" s="80" t="s">
        <v>837</v>
      </c>
      <c r="G1124" s="94">
        <v>1856141</v>
      </c>
      <c r="H1124" s="78" t="s">
        <v>354</v>
      </c>
      <c r="I1124" s="78" t="s">
        <v>724</v>
      </c>
      <c r="J1124" s="78" t="s">
        <v>725</v>
      </c>
      <c r="K1124" s="78" t="s">
        <v>354</v>
      </c>
    </row>
    <row r="1125" spans="1:11" s="77" customFormat="1" ht="15" hidden="1" customHeight="1">
      <c r="A1125" s="83">
        <v>45902</v>
      </c>
      <c r="B1125" s="77" t="s">
        <v>352</v>
      </c>
      <c r="C1125" s="77" t="s">
        <v>717</v>
      </c>
      <c r="D1125" s="85" t="s">
        <v>750</v>
      </c>
      <c r="E1125" s="96" t="s">
        <v>752</v>
      </c>
      <c r="F1125" s="87" t="s">
        <v>728</v>
      </c>
      <c r="G1125" s="88" t="s">
        <v>721</v>
      </c>
    </row>
    <row r="1126" spans="1:11" s="77" customFormat="1" ht="15" hidden="1" customHeight="1">
      <c r="A1126" s="83">
        <v>45902</v>
      </c>
      <c r="B1126" s="77" t="s">
        <v>352</v>
      </c>
      <c r="C1126" s="77" t="s">
        <v>717</v>
      </c>
      <c r="D1126" s="85" t="s">
        <v>750</v>
      </c>
      <c r="E1126" s="96" t="s">
        <v>753</v>
      </c>
      <c r="F1126" s="87" t="s">
        <v>728</v>
      </c>
      <c r="G1126" s="88" t="s">
        <v>721</v>
      </c>
    </row>
    <row r="1127" spans="1:11" s="77" customFormat="1" ht="15" hidden="1" customHeight="1">
      <c r="A1127" s="83">
        <v>45902</v>
      </c>
      <c r="B1127" s="77" t="s">
        <v>352</v>
      </c>
      <c r="C1127" s="77" t="s">
        <v>717</v>
      </c>
      <c r="D1127" s="85" t="s">
        <v>750</v>
      </c>
      <c r="E1127" s="96" t="s">
        <v>754</v>
      </c>
      <c r="F1127" s="87" t="s">
        <v>728</v>
      </c>
      <c r="G1127" s="88" t="s">
        <v>721</v>
      </c>
    </row>
    <row r="1128" spans="1:11" s="77" customFormat="1" ht="15" hidden="1" customHeight="1">
      <c r="A1128" s="83">
        <v>45902</v>
      </c>
      <c r="B1128" s="77" t="s">
        <v>352</v>
      </c>
      <c r="C1128" s="77" t="s">
        <v>717</v>
      </c>
      <c r="D1128" s="85" t="s">
        <v>755</v>
      </c>
      <c r="E1128" s="86" t="s">
        <v>756</v>
      </c>
      <c r="F1128" s="87" t="s">
        <v>802</v>
      </c>
      <c r="G1128" s="88" t="s">
        <v>721</v>
      </c>
    </row>
    <row r="1129" spans="1:11" s="77" customFormat="1" ht="15" hidden="1" customHeight="1">
      <c r="A1129" s="83">
        <v>45902</v>
      </c>
      <c r="B1129" s="77" t="s">
        <v>352</v>
      </c>
      <c r="C1129" s="77" t="s">
        <v>717</v>
      </c>
      <c r="D1129" s="85" t="s">
        <v>755</v>
      </c>
      <c r="E1129" s="96" t="s">
        <v>757</v>
      </c>
      <c r="F1129" s="87" t="s">
        <v>802</v>
      </c>
      <c r="G1129" s="88" t="s">
        <v>721</v>
      </c>
    </row>
    <row r="1130" spans="1:11" ht="15" customHeight="1">
      <c r="A1130" s="90">
        <v>45902</v>
      </c>
      <c r="B1130" s="78" t="s">
        <v>352</v>
      </c>
      <c r="C1130" s="78" t="s">
        <v>717</v>
      </c>
      <c r="D1130" s="92" t="s">
        <v>758</v>
      </c>
      <c r="E1130" s="78" t="s">
        <v>759</v>
      </c>
      <c r="F1130" s="80" t="s">
        <v>859</v>
      </c>
      <c r="G1130" s="94">
        <v>1856141</v>
      </c>
      <c r="H1130" s="78" t="s">
        <v>354</v>
      </c>
      <c r="I1130" s="78" t="s">
        <v>724</v>
      </c>
      <c r="J1130" s="78" t="s">
        <v>725</v>
      </c>
      <c r="K1130" s="78" t="s">
        <v>354</v>
      </c>
    </row>
    <row r="1131" spans="1:11" s="77" customFormat="1" ht="15" hidden="1" customHeight="1">
      <c r="A1131" s="83">
        <v>45902</v>
      </c>
      <c r="B1131" s="77" t="s">
        <v>352</v>
      </c>
      <c r="C1131" s="77" t="s">
        <v>717</v>
      </c>
      <c r="D1131" s="85" t="s">
        <v>758</v>
      </c>
      <c r="E1131" s="96" t="s">
        <v>760</v>
      </c>
      <c r="F1131" s="87" t="s">
        <v>728</v>
      </c>
      <c r="G1131" s="88" t="s">
        <v>721</v>
      </c>
    </row>
    <row r="1132" spans="1:11" s="77" customFormat="1" ht="15" hidden="1" customHeight="1">
      <c r="A1132" s="83">
        <v>45902</v>
      </c>
      <c r="B1132" s="77" t="s">
        <v>352</v>
      </c>
      <c r="C1132" s="77" t="s">
        <v>717</v>
      </c>
      <c r="D1132" s="85" t="s">
        <v>758</v>
      </c>
      <c r="E1132" s="96" t="s">
        <v>761</v>
      </c>
      <c r="F1132" s="87" t="s">
        <v>728</v>
      </c>
      <c r="G1132" s="88" t="s">
        <v>721</v>
      </c>
    </row>
    <row r="1133" spans="1:11" s="77" customFormat="1" ht="15" hidden="1" customHeight="1">
      <c r="A1133" s="83">
        <v>45902</v>
      </c>
      <c r="B1133" s="77" t="s">
        <v>352</v>
      </c>
      <c r="C1133" s="77" t="s">
        <v>717</v>
      </c>
      <c r="D1133" s="85" t="s">
        <v>758</v>
      </c>
      <c r="E1133" s="96" t="s">
        <v>762</v>
      </c>
      <c r="F1133" s="87" t="s">
        <v>728</v>
      </c>
      <c r="G1133" s="88" t="s">
        <v>721</v>
      </c>
    </row>
    <row r="1134" spans="1:11" ht="15" customHeight="1">
      <c r="A1134" s="90">
        <v>45902</v>
      </c>
      <c r="B1134" s="78" t="s">
        <v>352</v>
      </c>
      <c r="C1134" s="78" t="s">
        <v>717</v>
      </c>
      <c r="D1134" s="92" t="s">
        <v>758</v>
      </c>
      <c r="E1134" s="78" t="s">
        <v>763</v>
      </c>
      <c r="F1134" s="80" t="s">
        <v>860</v>
      </c>
      <c r="G1134" s="94">
        <v>1856141</v>
      </c>
      <c r="H1134" s="78" t="s">
        <v>354</v>
      </c>
      <c r="I1134" s="78" t="s">
        <v>724</v>
      </c>
      <c r="J1134" s="78" t="s">
        <v>725</v>
      </c>
      <c r="K1134" s="78" t="s">
        <v>354</v>
      </c>
    </row>
    <row r="1135" spans="1:11" s="77" customFormat="1" ht="15" hidden="1" customHeight="1">
      <c r="A1135" s="83">
        <v>45902</v>
      </c>
      <c r="B1135" s="77" t="s">
        <v>352</v>
      </c>
      <c r="C1135" s="77" t="s">
        <v>717</v>
      </c>
      <c r="D1135" s="85" t="s">
        <v>758</v>
      </c>
      <c r="E1135" s="96" t="s">
        <v>764</v>
      </c>
      <c r="F1135" s="87" t="s">
        <v>728</v>
      </c>
      <c r="G1135" s="88" t="s">
        <v>721</v>
      </c>
    </row>
    <row r="1136" spans="1:11" s="77" customFormat="1" ht="15" hidden="1" customHeight="1">
      <c r="A1136" s="83">
        <v>45902</v>
      </c>
      <c r="B1136" s="77" t="s">
        <v>352</v>
      </c>
      <c r="C1136" s="77" t="s">
        <v>717</v>
      </c>
      <c r="D1136" s="85" t="s">
        <v>718</v>
      </c>
      <c r="E1136" s="96" t="s">
        <v>719</v>
      </c>
      <c r="F1136" s="87" t="s">
        <v>728</v>
      </c>
      <c r="G1136" s="88" t="s">
        <v>721</v>
      </c>
    </row>
    <row r="1137" spans="1:11" s="77" customFormat="1" ht="15" hidden="1" customHeight="1">
      <c r="A1137" s="83">
        <v>45902</v>
      </c>
      <c r="B1137" s="77" t="s">
        <v>352</v>
      </c>
      <c r="C1137" s="77" t="s">
        <v>717</v>
      </c>
      <c r="D1137" s="85" t="s">
        <v>718</v>
      </c>
      <c r="E1137" s="86" t="s">
        <v>765</v>
      </c>
      <c r="F1137" s="87" t="s">
        <v>728</v>
      </c>
      <c r="G1137" s="88" t="s">
        <v>721</v>
      </c>
    </row>
    <row r="1138" spans="1:11" s="77" customFormat="1" ht="15" hidden="1" customHeight="1">
      <c r="A1138" s="83">
        <v>45902</v>
      </c>
      <c r="B1138" s="77" t="s">
        <v>352</v>
      </c>
      <c r="C1138" s="77" t="s">
        <v>717</v>
      </c>
      <c r="D1138" s="85" t="s">
        <v>718</v>
      </c>
      <c r="E1138" s="86" t="s">
        <v>766</v>
      </c>
      <c r="F1138" s="87" t="s">
        <v>728</v>
      </c>
      <c r="G1138" s="88" t="s">
        <v>721</v>
      </c>
    </row>
    <row r="1139" spans="1:11" s="77" customFormat="1" ht="15" hidden="1" customHeight="1">
      <c r="A1139" s="83">
        <v>45902</v>
      </c>
      <c r="B1139" s="77" t="s">
        <v>352</v>
      </c>
      <c r="C1139" s="77" t="s">
        <v>717</v>
      </c>
      <c r="D1139" s="85" t="s">
        <v>718</v>
      </c>
      <c r="E1139" s="86" t="s">
        <v>767</v>
      </c>
      <c r="F1139" s="87" t="s">
        <v>728</v>
      </c>
      <c r="G1139" s="88" t="s">
        <v>721</v>
      </c>
    </row>
    <row r="1140" spans="1:11" s="77" customFormat="1" ht="15" hidden="1" customHeight="1">
      <c r="A1140" s="83">
        <v>45902</v>
      </c>
      <c r="B1140" s="77" t="s">
        <v>352</v>
      </c>
      <c r="C1140" s="77" t="s">
        <v>717</v>
      </c>
      <c r="D1140" s="85" t="s">
        <v>718</v>
      </c>
      <c r="E1140" s="86" t="s">
        <v>768</v>
      </c>
      <c r="F1140" s="87" t="s">
        <v>728</v>
      </c>
      <c r="G1140" s="88" t="s">
        <v>721</v>
      </c>
    </row>
    <row r="1141" spans="1:11" s="77" customFormat="1" ht="15" hidden="1" customHeight="1">
      <c r="A1141" s="83">
        <v>45902</v>
      </c>
      <c r="B1141" s="77" t="s">
        <v>352</v>
      </c>
      <c r="C1141" s="77" t="s">
        <v>717</v>
      </c>
      <c r="D1141" s="85" t="s">
        <v>718</v>
      </c>
      <c r="E1141" s="86" t="s">
        <v>769</v>
      </c>
      <c r="F1141" s="87" t="s">
        <v>728</v>
      </c>
      <c r="G1141" s="88" t="s">
        <v>721</v>
      </c>
    </row>
    <row r="1142" spans="1:11" s="77" customFormat="1" ht="15" hidden="1" customHeight="1">
      <c r="A1142" s="83">
        <v>45902</v>
      </c>
      <c r="B1142" s="77" t="s">
        <v>352</v>
      </c>
      <c r="C1142" s="77" t="s">
        <v>717</v>
      </c>
      <c r="D1142" s="85" t="s">
        <v>718</v>
      </c>
      <c r="E1142" s="86" t="s">
        <v>770</v>
      </c>
      <c r="F1142" s="87" t="s">
        <v>728</v>
      </c>
      <c r="G1142" s="88" t="s">
        <v>721</v>
      </c>
    </row>
    <row r="1143" spans="1:11" ht="15" customHeight="1">
      <c r="A1143" s="90">
        <v>45902</v>
      </c>
      <c r="B1143" s="78" t="s">
        <v>352</v>
      </c>
      <c r="C1143" s="78" t="s">
        <v>717</v>
      </c>
      <c r="D1143" s="92" t="s">
        <v>718</v>
      </c>
      <c r="E1143" s="91" t="s">
        <v>771</v>
      </c>
      <c r="F1143" s="80" t="s">
        <v>847</v>
      </c>
      <c r="G1143" s="94">
        <v>1856141</v>
      </c>
      <c r="H1143" s="78" t="s">
        <v>354</v>
      </c>
      <c r="I1143" s="78" t="s">
        <v>724</v>
      </c>
      <c r="J1143" s="78" t="s">
        <v>725</v>
      </c>
      <c r="K1143" s="78" t="s">
        <v>354</v>
      </c>
    </row>
    <row r="1144" spans="1:11" s="77" customFormat="1" ht="15" hidden="1" customHeight="1">
      <c r="A1144" s="83">
        <v>45902</v>
      </c>
      <c r="B1144" s="77" t="s">
        <v>352</v>
      </c>
      <c r="C1144" s="77" t="s">
        <v>717</v>
      </c>
      <c r="D1144" s="85" t="s">
        <v>718</v>
      </c>
      <c r="E1144" s="86" t="s">
        <v>772</v>
      </c>
      <c r="F1144" s="87" t="s">
        <v>728</v>
      </c>
      <c r="G1144" s="88" t="s">
        <v>721</v>
      </c>
    </row>
    <row r="1145" spans="1:11" s="77" customFormat="1" ht="15" hidden="1" customHeight="1">
      <c r="A1145" s="83">
        <v>45902</v>
      </c>
      <c r="B1145" s="77" t="s">
        <v>352</v>
      </c>
      <c r="C1145" s="77" t="s">
        <v>717</v>
      </c>
      <c r="D1145" s="85" t="s">
        <v>718</v>
      </c>
      <c r="E1145" s="96" t="s">
        <v>803</v>
      </c>
      <c r="F1145" s="87" t="s">
        <v>728</v>
      </c>
      <c r="G1145" s="88" t="s">
        <v>721</v>
      </c>
    </row>
    <row r="1146" spans="1:11" ht="15" customHeight="1">
      <c r="A1146" s="90">
        <v>45902</v>
      </c>
      <c r="B1146" s="78" t="s">
        <v>591</v>
      </c>
      <c r="C1146" s="78" t="s">
        <v>717</v>
      </c>
      <c r="D1146" s="91" t="s">
        <v>726</v>
      </c>
      <c r="E1146" s="100" t="s">
        <v>727</v>
      </c>
      <c r="F1146" s="80" t="s">
        <v>861</v>
      </c>
      <c r="G1146" s="94">
        <v>1856142</v>
      </c>
      <c r="H1146" s="78" t="s">
        <v>354</v>
      </c>
      <c r="I1146" s="78" t="s">
        <v>724</v>
      </c>
      <c r="J1146" s="78" t="s">
        <v>725</v>
      </c>
      <c r="K1146" s="78" t="s">
        <v>354</v>
      </c>
    </row>
    <row r="1147" spans="1:11" ht="15" customHeight="1">
      <c r="A1147" s="90">
        <v>45902</v>
      </c>
      <c r="B1147" s="78" t="s">
        <v>591</v>
      </c>
      <c r="C1147" s="78" t="s">
        <v>717</v>
      </c>
      <c r="D1147" s="91" t="s">
        <v>726</v>
      </c>
      <c r="E1147" s="78" t="s">
        <v>729</v>
      </c>
      <c r="F1147" s="80" t="s">
        <v>862</v>
      </c>
      <c r="G1147" s="94">
        <v>1856142</v>
      </c>
      <c r="H1147" s="78" t="s">
        <v>354</v>
      </c>
      <c r="I1147" s="78" t="s">
        <v>724</v>
      </c>
      <c r="J1147" s="78" t="s">
        <v>725</v>
      </c>
      <c r="K1147" s="78" t="s">
        <v>354</v>
      </c>
    </row>
    <row r="1148" spans="1:11" s="77" customFormat="1" ht="15" hidden="1" customHeight="1">
      <c r="A1148" s="83">
        <v>45902</v>
      </c>
      <c r="B1148" s="77" t="s">
        <v>591</v>
      </c>
      <c r="C1148" s="77" t="s">
        <v>717</v>
      </c>
      <c r="D1148" s="86" t="s">
        <v>726</v>
      </c>
      <c r="E1148" s="96" t="s">
        <v>730</v>
      </c>
      <c r="F1148" s="87" t="s">
        <v>728</v>
      </c>
      <c r="G1148" s="88" t="s">
        <v>721</v>
      </c>
    </row>
    <row r="1149" spans="1:11" s="77" customFormat="1" ht="15" hidden="1" customHeight="1">
      <c r="A1149" s="83">
        <v>45902</v>
      </c>
      <c r="B1149" s="77" t="s">
        <v>591</v>
      </c>
      <c r="C1149" s="77" t="s">
        <v>717</v>
      </c>
      <c r="D1149" s="86" t="s">
        <v>726</v>
      </c>
      <c r="E1149" s="96" t="s">
        <v>731</v>
      </c>
      <c r="F1149" s="87" t="s">
        <v>728</v>
      </c>
      <c r="G1149" s="88" t="s">
        <v>721</v>
      </c>
    </row>
    <row r="1150" spans="1:11" s="77" customFormat="1" ht="15" hidden="1" customHeight="1">
      <c r="A1150" s="83">
        <v>45902</v>
      </c>
      <c r="B1150" s="77" t="s">
        <v>591</v>
      </c>
      <c r="C1150" s="77" t="s">
        <v>717</v>
      </c>
      <c r="D1150" s="86" t="s">
        <v>726</v>
      </c>
      <c r="E1150" s="96" t="s">
        <v>732</v>
      </c>
      <c r="F1150" s="87" t="s">
        <v>728</v>
      </c>
      <c r="G1150" s="88" t="s">
        <v>721</v>
      </c>
    </row>
    <row r="1151" spans="1:11" s="77" customFormat="1" ht="15" hidden="1" customHeight="1">
      <c r="A1151" s="83">
        <v>45902</v>
      </c>
      <c r="B1151" s="77" t="s">
        <v>591</v>
      </c>
      <c r="C1151" s="77" t="s">
        <v>717</v>
      </c>
      <c r="D1151" s="86" t="s">
        <v>726</v>
      </c>
      <c r="E1151" s="96" t="s">
        <v>733</v>
      </c>
      <c r="F1151" s="87" t="s">
        <v>728</v>
      </c>
      <c r="G1151" s="88" t="s">
        <v>721</v>
      </c>
    </row>
    <row r="1152" spans="1:11" s="77" customFormat="1" ht="15" hidden="1" customHeight="1">
      <c r="A1152" s="83">
        <v>45902</v>
      </c>
      <c r="B1152" s="77" t="s">
        <v>591</v>
      </c>
      <c r="C1152" s="77" t="s">
        <v>717</v>
      </c>
      <c r="D1152" s="86" t="s">
        <v>726</v>
      </c>
      <c r="E1152" s="96" t="s">
        <v>734</v>
      </c>
      <c r="F1152" s="87" t="s">
        <v>728</v>
      </c>
      <c r="G1152" s="88" t="s">
        <v>721</v>
      </c>
    </row>
    <row r="1153" spans="1:11" s="77" customFormat="1" ht="15" hidden="1" customHeight="1">
      <c r="A1153" s="83">
        <v>45902</v>
      </c>
      <c r="B1153" s="77" t="s">
        <v>591</v>
      </c>
      <c r="C1153" s="77" t="s">
        <v>717</v>
      </c>
      <c r="D1153" s="86" t="s">
        <v>726</v>
      </c>
      <c r="E1153" s="96" t="s">
        <v>735</v>
      </c>
      <c r="F1153" s="87" t="s">
        <v>728</v>
      </c>
      <c r="G1153" s="88" t="s">
        <v>721</v>
      </c>
    </row>
    <row r="1154" spans="1:11" s="77" customFormat="1" ht="15" hidden="1" customHeight="1">
      <c r="A1154" s="83">
        <v>45902</v>
      </c>
      <c r="B1154" s="77" t="s">
        <v>591</v>
      </c>
      <c r="C1154" s="77" t="s">
        <v>717</v>
      </c>
      <c r="D1154" s="86" t="s">
        <v>736</v>
      </c>
      <c r="E1154" s="96" t="s">
        <v>737</v>
      </c>
      <c r="F1154" s="87" t="s">
        <v>801</v>
      </c>
      <c r="G1154" s="88" t="s">
        <v>721</v>
      </c>
    </row>
    <row r="1155" spans="1:11" s="77" customFormat="1" ht="15" hidden="1" customHeight="1">
      <c r="A1155" s="83">
        <v>45902</v>
      </c>
      <c r="B1155" s="77" t="s">
        <v>591</v>
      </c>
      <c r="C1155" s="77" t="s">
        <v>717</v>
      </c>
      <c r="D1155" s="86" t="s">
        <v>736</v>
      </c>
      <c r="E1155" s="96" t="s">
        <v>738</v>
      </c>
      <c r="F1155" s="87" t="s">
        <v>801</v>
      </c>
      <c r="G1155" s="88" t="s">
        <v>721</v>
      </c>
    </row>
    <row r="1156" spans="1:11" ht="15" customHeight="1">
      <c r="A1156" s="90">
        <v>45902</v>
      </c>
      <c r="B1156" s="78" t="s">
        <v>591</v>
      </c>
      <c r="C1156" s="78" t="s">
        <v>717</v>
      </c>
      <c r="D1156" s="92" t="s">
        <v>739</v>
      </c>
      <c r="E1156" s="78" t="s">
        <v>740</v>
      </c>
      <c r="F1156" s="80" t="s">
        <v>863</v>
      </c>
      <c r="G1156" s="94">
        <v>1856142</v>
      </c>
      <c r="H1156" s="78" t="s">
        <v>354</v>
      </c>
      <c r="I1156" s="78" t="s">
        <v>724</v>
      </c>
      <c r="J1156" s="78" t="s">
        <v>725</v>
      </c>
      <c r="K1156" s="78" t="s">
        <v>354</v>
      </c>
    </row>
    <row r="1157" spans="1:11" s="77" customFormat="1" ht="15" hidden="1" customHeight="1">
      <c r="A1157" s="83">
        <v>45902</v>
      </c>
      <c r="B1157" s="77" t="s">
        <v>591</v>
      </c>
      <c r="C1157" s="77" t="s">
        <v>717</v>
      </c>
      <c r="D1157" s="85" t="s">
        <v>739</v>
      </c>
      <c r="E1157" s="96" t="s">
        <v>741</v>
      </c>
      <c r="F1157" s="87" t="s">
        <v>728</v>
      </c>
      <c r="G1157" s="88" t="s">
        <v>721</v>
      </c>
    </row>
    <row r="1158" spans="1:11" s="77" customFormat="1" ht="15" hidden="1" customHeight="1">
      <c r="A1158" s="83">
        <v>45902</v>
      </c>
      <c r="B1158" s="77" t="s">
        <v>591</v>
      </c>
      <c r="C1158" s="77" t="s">
        <v>717</v>
      </c>
      <c r="D1158" s="85" t="s">
        <v>739</v>
      </c>
      <c r="E1158" s="96" t="s">
        <v>743</v>
      </c>
      <c r="F1158" s="87" t="s">
        <v>728</v>
      </c>
      <c r="G1158" s="88" t="s">
        <v>721</v>
      </c>
    </row>
    <row r="1159" spans="1:11" ht="15" customHeight="1">
      <c r="A1159" s="90">
        <v>45902</v>
      </c>
      <c r="B1159" s="78" t="s">
        <v>591</v>
      </c>
      <c r="C1159" s="78" t="s">
        <v>717</v>
      </c>
      <c r="D1159" s="92" t="s">
        <v>744</v>
      </c>
      <c r="E1159" s="78" t="s">
        <v>745</v>
      </c>
      <c r="F1159" s="80" t="s">
        <v>864</v>
      </c>
      <c r="G1159" s="94">
        <v>1856142</v>
      </c>
      <c r="H1159" s="78" t="s">
        <v>354</v>
      </c>
      <c r="I1159" s="78" t="s">
        <v>724</v>
      </c>
      <c r="J1159" s="78" t="s">
        <v>725</v>
      </c>
      <c r="K1159" s="78" t="s">
        <v>354</v>
      </c>
    </row>
    <row r="1160" spans="1:11" s="77" customFormat="1" ht="15" hidden="1" customHeight="1">
      <c r="A1160" s="83">
        <v>45902</v>
      </c>
      <c r="B1160" s="77" t="s">
        <v>591</v>
      </c>
      <c r="C1160" s="77" t="s">
        <v>717</v>
      </c>
      <c r="D1160" s="85" t="s">
        <v>744</v>
      </c>
      <c r="E1160" s="96" t="s">
        <v>746</v>
      </c>
      <c r="F1160" s="87" t="s">
        <v>728</v>
      </c>
      <c r="G1160" s="88" t="s">
        <v>721</v>
      </c>
    </row>
    <row r="1161" spans="1:11" s="77" customFormat="1" ht="15" hidden="1" customHeight="1">
      <c r="A1161" s="83">
        <v>45902</v>
      </c>
      <c r="B1161" s="77" t="s">
        <v>591</v>
      </c>
      <c r="C1161" s="77" t="s">
        <v>717</v>
      </c>
      <c r="D1161" s="85" t="s">
        <v>744</v>
      </c>
      <c r="E1161" s="96" t="s">
        <v>747</v>
      </c>
      <c r="F1161" s="87" t="s">
        <v>801</v>
      </c>
      <c r="G1161" s="88" t="s">
        <v>721</v>
      </c>
    </row>
    <row r="1162" spans="1:11" s="77" customFormat="1" ht="15" hidden="1" customHeight="1">
      <c r="A1162" s="83">
        <v>45902</v>
      </c>
      <c r="B1162" s="77" t="s">
        <v>591</v>
      </c>
      <c r="C1162" s="77" t="s">
        <v>717</v>
      </c>
      <c r="D1162" s="85" t="s">
        <v>744</v>
      </c>
      <c r="E1162" s="96" t="s">
        <v>748</v>
      </c>
      <c r="F1162" s="87" t="s">
        <v>801</v>
      </c>
      <c r="G1162" s="88" t="s">
        <v>721</v>
      </c>
    </row>
    <row r="1163" spans="1:11" s="77" customFormat="1" ht="15" hidden="1" customHeight="1">
      <c r="A1163" s="83">
        <v>45902</v>
      </c>
      <c r="B1163" s="77" t="s">
        <v>591</v>
      </c>
      <c r="C1163" s="77" t="s">
        <v>717</v>
      </c>
      <c r="D1163" s="85" t="s">
        <v>744</v>
      </c>
      <c r="E1163" s="96" t="s">
        <v>749</v>
      </c>
      <c r="F1163" s="87" t="s">
        <v>801</v>
      </c>
      <c r="G1163" s="88" t="s">
        <v>721</v>
      </c>
    </row>
    <row r="1164" spans="1:11" ht="15" customHeight="1">
      <c r="A1164" s="90">
        <v>45902</v>
      </c>
      <c r="B1164" s="78" t="s">
        <v>591</v>
      </c>
      <c r="C1164" s="78" t="s">
        <v>717</v>
      </c>
      <c r="D1164" s="92" t="s">
        <v>750</v>
      </c>
      <c r="E1164" s="78" t="s">
        <v>751</v>
      </c>
      <c r="F1164" s="80" t="s">
        <v>865</v>
      </c>
      <c r="G1164" s="94">
        <v>1856142</v>
      </c>
      <c r="H1164" s="78" t="s">
        <v>354</v>
      </c>
      <c r="I1164" s="78" t="s">
        <v>724</v>
      </c>
      <c r="J1164" s="78" t="s">
        <v>725</v>
      </c>
      <c r="K1164" s="78" t="s">
        <v>354</v>
      </c>
    </row>
    <row r="1165" spans="1:11" s="77" customFormat="1" ht="15" hidden="1" customHeight="1">
      <c r="A1165" s="83">
        <v>45902</v>
      </c>
      <c r="B1165" s="77" t="s">
        <v>591</v>
      </c>
      <c r="C1165" s="77" t="s">
        <v>717</v>
      </c>
      <c r="D1165" s="85" t="s">
        <v>750</v>
      </c>
      <c r="E1165" s="96" t="s">
        <v>752</v>
      </c>
      <c r="F1165" s="87" t="s">
        <v>728</v>
      </c>
      <c r="G1165" s="88" t="s">
        <v>721</v>
      </c>
    </row>
    <row r="1166" spans="1:11" s="77" customFormat="1" ht="15" hidden="1" customHeight="1">
      <c r="A1166" s="83">
        <v>45902</v>
      </c>
      <c r="B1166" s="77" t="s">
        <v>591</v>
      </c>
      <c r="C1166" s="77" t="s">
        <v>717</v>
      </c>
      <c r="D1166" s="85" t="s">
        <v>750</v>
      </c>
      <c r="E1166" s="96" t="s">
        <v>753</v>
      </c>
      <c r="F1166" s="87" t="s">
        <v>728</v>
      </c>
      <c r="G1166" s="88" t="s">
        <v>721</v>
      </c>
    </row>
    <row r="1167" spans="1:11" s="77" customFormat="1" ht="15" hidden="1" customHeight="1">
      <c r="A1167" s="83">
        <v>45902</v>
      </c>
      <c r="B1167" s="77" t="s">
        <v>591</v>
      </c>
      <c r="C1167" s="77" t="s">
        <v>717</v>
      </c>
      <c r="D1167" s="85" t="s">
        <v>750</v>
      </c>
      <c r="E1167" s="96" t="s">
        <v>754</v>
      </c>
      <c r="F1167" s="87" t="s">
        <v>728</v>
      </c>
      <c r="G1167" s="88" t="s">
        <v>721</v>
      </c>
    </row>
    <row r="1168" spans="1:11" s="77" customFormat="1" ht="15" hidden="1" customHeight="1">
      <c r="A1168" s="83">
        <v>45902</v>
      </c>
      <c r="B1168" s="77" t="s">
        <v>591</v>
      </c>
      <c r="C1168" s="77" t="s">
        <v>717</v>
      </c>
      <c r="D1168" s="85" t="s">
        <v>755</v>
      </c>
      <c r="E1168" s="86" t="s">
        <v>756</v>
      </c>
      <c r="F1168" s="98" t="s">
        <v>866</v>
      </c>
      <c r="G1168" s="88" t="s">
        <v>721</v>
      </c>
    </row>
    <row r="1169" spans="1:7" s="77" customFormat="1" ht="15" hidden="1" customHeight="1">
      <c r="A1169" s="83">
        <v>45902</v>
      </c>
      <c r="B1169" s="77" t="s">
        <v>591</v>
      </c>
      <c r="C1169" s="77" t="s">
        <v>717</v>
      </c>
      <c r="D1169" s="85" t="s">
        <v>755</v>
      </c>
      <c r="E1169" s="96" t="s">
        <v>757</v>
      </c>
      <c r="F1169" s="98" t="s">
        <v>866</v>
      </c>
      <c r="G1169" s="88" t="s">
        <v>721</v>
      </c>
    </row>
    <row r="1170" spans="1:7" s="77" customFormat="1" ht="15" hidden="1" customHeight="1">
      <c r="A1170" s="83">
        <v>45902</v>
      </c>
      <c r="B1170" s="77" t="s">
        <v>591</v>
      </c>
      <c r="C1170" s="77" t="s">
        <v>717</v>
      </c>
      <c r="D1170" s="85" t="s">
        <v>758</v>
      </c>
      <c r="E1170" s="96" t="s">
        <v>759</v>
      </c>
      <c r="F1170" s="87" t="s">
        <v>728</v>
      </c>
      <c r="G1170" s="88" t="s">
        <v>721</v>
      </c>
    </row>
    <row r="1171" spans="1:7" s="77" customFormat="1" ht="15" hidden="1" customHeight="1">
      <c r="A1171" s="83">
        <v>45902</v>
      </c>
      <c r="B1171" s="77" t="s">
        <v>591</v>
      </c>
      <c r="C1171" s="77" t="s">
        <v>717</v>
      </c>
      <c r="D1171" s="85" t="s">
        <v>758</v>
      </c>
      <c r="E1171" s="96" t="s">
        <v>760</v>
      </c>
      <c r="F1171" s="87" t="s">
        <v>728</v>
      </c>
      <c r="G1171" s="88" t="s">
        <v>721</v>
      </c>
    </row>
    <row r="1172" spans="1:7" s="77" customFormat="1" ht="15" hidden="1" customHeight="1">
      <c r="A1172" s="83">
        <v>45902</v>
      </c>
      <c r="B1172" s="77" t="s">
        <v>591</v>
      </c>
      <c r="C1172" s="77" t="s">
        <v>717</v>
      </c>
      <c r="D1172" s="85" t="s">
        <v>758</v>
      </c>
      <c r="E1172" s="96" t="s">
        <v>761</v>
      </c>
      <c r="F1172" s="87" t="s">
        <v>728</v>
      </c>
      <c r="G1172" s="88" t="s">
        <v>721</v>
      </c>
    </row>
    <row r="1173" spans="1:7" s="77" customFormat="1" ht="15" hidden="1" customHeight="1">
      <c r="A1173" s="83">
        <v>45902</v>
      </c>
      <c r="B1173" s="77" t="s">
        <v>591</v>
      </c>
      <c r="C1173" s="77" t="s">
        <v>717</v>
      </c>
      <c r="D1173" s="85" t="s">
        <v>758</v>
      </c>
      <c r="E1173" s="96" t="s">
        <v>762</v>
      </c>
      <c r="F1173" s="87" t="s">
        <v>728</v>
      </c>
      <c r="G1173" s="88" t="s">
        <v>721</v>
      </c>
    </row>
    <row r="1174" spans="1:7" s="77" customFormat="1" ht="15" hidden="1" customHeight="1">
      <c r="A1174" s="83">
        <v>45902</v>
      </c>
      <c r="B1174" s="77" t="s">
        <v>591</v>
      </c>
      <c r="C1174" s="77" t="s">
        <v>717</v>
      </c>
      <c r="D1174" s="85" t="s">
        <v>758</v>
      </c>
      <c r="E1174" s="96" t="s">
        <v>763</v>
      </c>
      <c r="F1174" s="87" t="s">
        <v>728</v>
      </c>
      <c r="G1174" s="88" t="s">
        <v>721</v>
      </c>
    </row>
    <row r="1175" spans="1:7" s="77" customFormat="1" ht="15" hidden="1" customHeight="1">
      <c r="A1175" s="83">
        <v>45902</v>
      </c>
      <c r="B1175" s="77" t="s">
        <v>591</v>
      </c>
      <c r="C1175" s="77" t="s">
        <v>717</v>
      </c>
      <c r="D1175" s="85" t="s">
        <v>758</v>
      </c>
      <c r="E1175" s="96" t="s">
        <v>764</v>
      </c>
      <c r="F1175" s="87" t="s">
        <v>728</v>
      </c>
      <c r="G1175" s="88" t="s">
        <v>721</v>
      </c>
    </row>
    <row r="1176" spans="1:7" s="77" customFormat="1" ht="15" hidden="1" customHeight="1">
      <c r="A1176" s="83">
        <v>45902</v>
      </c>
      <c r="B1176" s="77" t="s">
        <v>591</v>
      </c>
      <c r="C1176" s="77" t="s">
        <v>717</v>
      </c>
      <c r="D1176" s="85" t="s">
        <v>718</v>
      </c>
      <c r="E1176" s="96" t="s">
        <v>719</v>
      </c>
      <c r="F1176" s="104">
        <v>45931</v>
      </c>
      <c r="G1176" s="88" t="s">
        <v>721</v>
      </c>
    </row>
    <row r="1177" spans="1:7" s="77" customFormat="1" ht="15" hidden="1" customHeight="1">
      <c r="A1177" s="83">
        <v>45902</v>
      </c>
      <c r="B1177" s="77" t="s">
        <v>591</v>
      </c>
      <c r="C1177" s="77" t="s">
        <v>717</v>
      </c>
      <c r="D1177" s="85" t="s">
        <v>718</v>
      </c>
      <c r="E1177" s="86" t="s">
        <v>765</v>
      </c>
      <c r="F1177" s="87" t="s">
        <v>728</v>
      </c>
      <c r="G1177" s="88" t="s">
        <v>721</v>
      </c>
    </row>
    <row r="1178" spans="1:7" s="77" customFormat="1" ht="15" hidden="1" customHeight="1">
      <c r="A1178" s="83">
        <v>45902</v>
      </c>
      <c r="B1178" s="77" t="s">
        <v>591</v>
      </c>
      <c r="C1178" s="77" t="s">
        <v>717</v>
      </c>
      <c r="D1178" s="85" t="s">
        <v>718</v>
      </c>
      <c r="E1178" s="86" t="s">
        <v>766</v>
      </c>
      <c r="F1178" s="87" t="s">
        <v>728</v>
      </c>
      <c r="G1178" s="88" t="s">
        <v>721</v>
      </c>
    </row>
    <row r="1179" spans="1:7" s="77" customFormat="1" ht="15" hidden="1" customHeight="1">
      <c r="A1179" s="83">
        <v>45902</v>
      </c>
      <c r="B1179" s="77" t="s">
        <v>591</v>
      </c>
      <c r="C1179" s="77" t="s">
        <v>717</v>
      </c>
      <c r="D1179" s="85" t="s">
        <v>718</v>
      </c>
      <c r="E1179" s="86" t="s">
        <v>767</v>
      </c>
      <c r="F1179" s="87" t="s">
        <v>728</v>
      </c>
      <c r="G1179" s="88" t="s">
        <v>721</v>
      </c>
    </row>
    <row r="1180" spans="1:7" s="77" customFormat="1" ht="15" hidden="1" customHeight="1">
      <c r="A1180" s="83">
        <v>45902</v>
      </c>
      <c r="B1180" s="77" t="s">
        <v>591</v>
      </c>
      <c r="C1180" s="77" t="s">
        <v>717</v>
      </c>
      <c r="D1180" s="85" t="s">
        <v>718</v>
      </c>
      <c r="E1180" s="86" t="s">
        <v>768</v>
      </c>
      <c r="F1180" s="87" t="s">
        <v>728</v>
      </c>
      <c r="G1180" s="88" t="s">
        <v>721</v>
      </c>
    </row>
    <row r="1181" spans="1:7" s="77" customFormat="1" ht="15" hidden="1" customHeight="1">
      <c r="A1181" s="83">
        <v>45902</v>
      </c>
      <c r="B1181" s="77" t="s">
        <v>591</v>
      </c>
      <c r="C1181" s="77" t="s">
        <v>717</v>
      </c>
      <c r="D1181" s="85" t="s">
        <v>718</v>
      </c>
      <c r="E1181" s="86" t="s">
        <v>769</v>
      </c>
      <c r="F1181" s="87" t="s">
        <v>728</v>
      </c>
      <c r="G1181" s="88" t="s">
        <v>721</v>
      </c>
    </row>
    <row r="1182" spans="1:7" s="77" customFormat="1" ht="15" hidden="1" customHeight="1">
      <c r="A1182" s="83">
        <v>45902</v>
      </c>
      <c r="B1182" s="77" t="s">
        <v>591</v>
      </c>
      <c r="C1182" s="77" t="s">
        <v>717</v>
      </c>
      <c r="D1182" s="85" t="s">
        <v>718</v>
      </c>
      <c r="E1182" s="86" t="s">
        <v>770</v>
      </c>
      <c r="F1182" s="87" t="s">
        <v>728</v>
      </c>
      <c r="G1182" s="88" t="s">
        <v>721</v>
      </c>
    </row>
    <row r="1183" spans="1:7" s="77" customFormat="1" ht="15" hidden="1" customHeight="1">
      <c r="A1183" s="83">
        <v>45902</v>
      </c>
      <c r="B1183" s="77" t="s">
        <v>591</v>
      </c>
      <c r="C1183" s="77" t="s">
        <v>717</v>
      </c>
      <c r="D1183" s="85" t="s">
        <v>718</v>
      </c>
      <c r="E1183" s="86" t="s">
        <v>771</v>
      </c>
      <c r="F1183" s="87" t="s">
        <v>728</v>
      </c>
      <c r="G1183" s="88" t="s">
        <v>721</v>
      </c>
    </row>
    <row r="1184" spans="1:7" s="77" customFormat="1" ht="15" hidden="1" customHeight="1">
      <c r="A1184" s="83">
        <v>45902</v>
      </c>
      <c r="B1184" s="77" t="s">
        <v>591</v>
      </c>
      <c r="C1184" s="77" t="s">
        <v>717</v>
      </c>
      <c r="D1184" s="85" t="s">
        <v>718</v>
      </c>
      <c r="E1184" s="86" t="s">
        <v>772</v>
      </c>
      <c r="F1184" s="87" t="s">
        <v>728</v>
      </c>
      <c r="G1184" s="88" t="s">
        <v>721</v>
      </c>
    </row>
    <row r="1185" spans="1:11" s="77" customFormat="1" ht="15" hidden="1" customHeight="1">
      <c r="A1185" s="83">
        <v>45902</v>
      </c>
      <c r="B1185" s="77" t="s">
        <v>591</v>
      </c>
      <c r="C1185" s="77" t="s">
        <v>717</v>
      </c>
      <c r="D1185" s="85" t="s">
        <v>718</v>
      </c>
      <c r="E1185" s="96" t="s">
        <v>803</v>
      </c>
      <c r="F1185" s="87" t="s">
        <v>728</v>
      </c>
      <c r="G1185" s="88" t="s">
        <v>721</v>
      </c>
    </row>
    <row r="1186" spans="1:11" s="77" customFormat="1" ht="15" hidden="1" customHeight="1">
      <c r="A1186" s="83">
        <v>45902</v>
      </c>
      <c r="B1186" s="77" t="s">
        <v>636</v>
      </c>
      <c r="C1186" s="77" t="s">
        <v>717</v>
      </c>
      <c r="D1186" s="86" t="s">
        <v>726</v>
      </c>
      <c r="E1186" s="95" t="s">
        <v>727</v>
      </c>
      <c r="F1186" s="87" t="s">
        <v>728</v>
      </c>
      <c r="G1186" s="88" t="s">
        <v>721</v>
      </c>
    </row>
    <row r="1187" spans="1:11" s="77" customFormat="1" ht="15" hidden="1" customHeight="1">
      <c r="A1187" s="83">
        <v>45902</v>
      </c>
      <c r="B1187" s="77" t="s">
        <v>636</v>
      </c>
      <c r="C1187" s="77" t="s">
        <v>717</v>
      </c>
      <c r="D1187" s="86" t="s">
        <v>726</v>
      </c>
      <c r="E1187" s="96" t="s">
        <v>729</v>
      </c>
      <c r="F1187" s="87" t="s">
        <v>728</v>
      </c>
      <c r="G1187" s="88" t="s">
        <v>721</v>
      </c>
    </row>
    <row r="1188" spans="1:11" s="77" customFormat="1" ht="15" hidden="1" customHeight="1">
      <c r="A1188" s="83">
        <v>45902</v>
      </c>
      <c r="B1188" s="77" t="s">
        <v>636</v>
      </c>
      <c r="C1188" s="77" t="s">
        <v>717</v>
      </c>
      <c r="D1188" s="86" t="s">
        <v>726</v>
      </c>
      <c r="E1188" s="96" t="s">
        <v>730</v>
      </c>
      <c r="F1188" s="87" t="s">
        <v>728</v>
      </c>
      <c r="G1188" s="88" t="s">
        <v>721</v>
      </c>
    </row>
    <row r="1189" spans="1:11" s="77" customFormat="1" ht="15" hidden="1" customHeight="1">
      <c r="A1189" s="83">
        <v>45902</v>
      </c>
      <c r="B1189" s="77" t="s">
        <v>636</v>
      </c>
      <c r="C1189" s="77" t="s">
        <v>717</v>
      </c>
      <c r="D1189" s="86" t="s">
        <v>726</v>
      </c>
      <c r="E1189" s="96" t="s">
        <v>731</v>
      </c>
      <c r="F1189" s="87" t="s">
        <v>728</v>
      </c>
      <c r="G1189" s="88" t="s">
        <v>721</v>
      </c>
    </row>
    <row r="1190" spans="1:11" s="77" customFormat="1" ht="15" hidden="1" customHeight="1">
      <c r="A1190" s="83">
        <v>45902</v>
      </c>
      <c r="B1190" s="77" t="s">
        <v>636</v>
      </c>
      <c r="C1190" s="77" t="s">
        <v>717</v>
      </c>
      <c r="D1190" s="86" t="s">
        <v>726</v>
      </c>
      <c r="E1190" s="96" t="s">
        <v>732</v>
      </c>
      <c r="F1190" s="87" t="s">
        <v>728</v>
      </c>
      <c r="G1190" s="88" t="s">
        <v>721</v>
      </c>
    </row>
    <row r="1191" spans="1:11" s="77" customFormat="1" ht="15" hidden="1" customHeight="1">
      <c r="A1191" s="83">
        <v>45902</v>
      </c>
      <c r="B1191" s="77" t="s">
        <v>636</v>
      </c>
      <c r="C1191" s="77" t="s">
        <v>717</v>
      </c>
      <c r="D1191" s="86" t="s">
        <v>726</v>
      </c>
      <c r="E1191" s="96" t="s">
        <v>733</v>
      </c>
      <c r="F1191" s="87" t="s">
        <v>728</v>
      </c>
      <c r="G1191" s="88" t="s">
        <v>721</v>
      </c>
    </row>
    <row r="1192" spans="1:11" s="77" customFormat="1" ht="15" hidden="1" customHeight="1">
      <c r="A1192" s="83">
        <v>45902</v>
      </c>
      <c r="B1192" s="77" t="s">
        <v>636</v>
      </c>
      <c r="C1192" s="77" t="s">
        <v>717</v>
      </c>
      <c r="D1192" s="86" t="s">
        <v>726</v>
      </c>
      <c r="E1192" s="96" t="s">
        <v>734</v>
      </c>
      <c r="F1192" s="87" t="s">
        <v>728</v>
      </c>
      <c r="G1192" s="88" t="s">
        <v>721</v>
      </c>
    </row>
    <row r="1193" spans="1:11" ht="15" customHeight="1">
      <c r="A1193" s="90">
        <v>45902</v>
      </c>
      <c r="B1193" s="78" t="s">
        <v>636</v>
      </c>
      <c r="C1193" s="78" t="s">
        <v>717</v>
      </c>
      <c r="D1193" s="91" t="s">
        <v>726</v>
      </c>
      <c r="E1193" s="78" t="s">
        <v>735</v>
      </c>
      <c r="F1193" s="80" t="s">
        <v>867</v>
      </c>
      <c r="G1193" s="94">
        <v>1856143</v>
      </c>
      <c r="H1193" s="78" t="s">
        <v>354</v>
      </c>
      <c r="I1193" s="78" t="s">
        <v>724</v>
      </c>
      <c r="J1193" s="78" t="s">
        <v>725</v>
      </c>
      <c r="K1193" s="78" t="s">
        <v>354</v>
      </c>
    </row>
    <row r="1194" spans="1:11" s="77" customFormat="1" ht="15" hidden="1" customHeight="1">
      <c r="A1194" s="83">
        <v>45902</v>
      </c>
      <c r="B1194" s="77" t="s">
        <v>636</v>
      </c>
      <c r="C1194" s="77" t="s">
        <v>717</v>
      </c>
      <c r="D1194" s="86" t="s">
        <v>736</v>
      </c>
      <c r="E1194" s="96" t="s">
        <v>737</v>
      </c>
      <c r="F1194" s="87" t="s">
        <v>801</v>
      </c>
      <c r="G1194" s="88" t="s">
        <v>721</v>
      </c>
    </row>
    <row r="1195" spans="1:11" s="77" customFormat="1" ht="15" hidden="1" customHeight="1">
      <c r="A1195" s="83">
        <v>45902</v>
      </c>
      <c r="B1195" s="77" t="s">
        <v>636</v>
      </c>
      <c r="C1195" s="77" t="s">
        <v>717</v>
      </c>
      <c r="D1195" s="86" t="s">
        <v>736</v>
      </c>
      <c r="E1195" s="96" t="s">
        <v>738</v>
      </c>
      <c r="F1195" s="87" t="s">
        <v>801</v>
      </c>
      <c r="G1195" s="88" t="s">
        <v>721</v>
      </c>
    </row>
    <row r="1196" spans="1:11" ht="15" customHeight="1">
      <c r="A1196" s="90">
        <v>45902</v>
      </c>
      <c r="B1196" s="78" t="s">
        <v>636</v>
      </c>
      <c r="C1196" s="78" t="s">
        <v>717</v>
      </c>
      <c r="D1196" s="92" t="s">
        <v>739</v>
      </c>
      <c r="E1196" s="78" t="s">
        <v>740</v>
      </c>
      <c r="F1196" s="80" t="s">
        <v>863</v>
      </c>
      <c r="G1196" s="94">
        <v>1856143</v>
      </c>
      <c r="H1196" s="78" t="s">
        <v>354</v>
      </c>
      <c r="I1196" s="78" t="s">
        <v>724</v>
      </c>
      <c r="J1196" s="78" t="s">
        <v>725</v>
      </c>
      <c r="K1196" s="78" t="s">
        <v>354</v>
      </c>
    </row>
    <row r="1197" spans="1:11" s="77" customFormat="1" ht="15" hidden="1" customHeight="1">
      <c r="A1197" s="83">
        <v>45902</v>
      </c>
      <c r="B1197" s="77" t="s">
        <v>636</v>
      </c>
      <c r="C1197" s="77" t="s">
        <v>717</v>
      </c>
      <c r="D1197" s="85" t="s">
        <v>739</v>
      </c>
      <c r="E1197" s="96" t="s">
        <v>741</v>
      </c>
      <c r="F1197" s="87" t="s">
        <v>728</v>
      </c>
      <c r="G1197" s="88" t="s">
        <v>721</v>
      </c>
    </row>
    <row r="1198" spans="1:11" s="77" customFormat="1" ht="15" hidden="1" customHeight="1">
      <c r="A1198" s="83">
        <v>45902</v>
      </c>
      <c r="B1198" s="77" t="s">
        <v>636</v>
      </c>
      <c r="C1198" s="77" t="s">
        <v>717</v>
      </c>
      <c r="D1198" s="85" t="s">
        <v>739</v>
      </c>
      <c r="E1198" s="96" t="s">
        <v>743</v>
      </c>
      <c r="F1198" s="87" t="s">
        <v>728</v>
      </c>
      <c r="G1198" s="88" t="s">
        <v>721</v>
      </c>
    </row>
    <row r="1199" spans="1:11" s="77" customFormat="1" ht="15" hidden="1" customHeight="1">
      <c r="A1199" s="83">
        <v>45902</v>
      </c>
      <c r="B1199" s="77" t="s">
        <v>636</v>
      </c>
      <c r="C1199" s="77" t="s">
        <v>717</v>
      </c>
      <c r="D1199" s="85" t="s">
        <v>744</v>
      </c>
      <c r="E1199" s="96" t="s">
        <v>745</v>
      </c>
      <c r="F1199" s="87" t="s">
        <v>728</v>
      </c>
      <c r="G1199" s="88" t="s">
        <v>721</v>
      </c>
    </row>
    <row r="1200" spans="1:11" s="77" customFormat="1" ht="15" hidden="1" customHeight="1">
      <c r="A1200" s="83">
        <v>45902</v>
      </c>
      <c r="B1200" s="77" t="s">
        <v>636</v>
      </c>
      <c r="C1200" s="77" t="s">
        <v>717</v>
      </c>
      <c r="D1200" s="85" t="s">
        <v>744</v>
      </c>
      <c r="E1200" s="96" t="s">
        <v>746</v>
      </c>
      <c r="F1200" s="87" t="s">
        <v>728</v>
      </c>
      <c r="G1200" s="88" t="s">
        <v>721</v>
      </c>
    </row>
    <row r="1201" spans="1:7" s="77" customFormat="1" ht="15" hidden="1" customHeight="1">
      <c r="A1201" s="83">
        <v>45902</v>
      </c>
      <c r="B1201" s="77" t="s">
        <v>636</v>
      </c>
      <c r="C1201" s="77" t="s">
        <v>717</v>
      </c>
      <c r="D1201" s="85" t="s">
        <v>744</v>
      </c>
      <c r="E1201" s="96" t="s">
        <v>747</v>
      </c>
      <c r="F1201" s="87" t="s">
        <v>801</v>
      </c>
      <c r="G1201" s="88" t="s">
        <v>721</v>
      </c>
    </row>
    <row r="1202" spans="1:7" s="77" customFormat="1" ht="15" hidden="1" customHeight="1">
      <c r="A1202" s="83">
        <v>45902</v>
      </c>
      <c r="B1202" s="77" t="s">
        <v>636</v>
      </c>
      <c r="C1202" s="77" t="s">
        <v>717</v>
      </c>
      <c r="D1202" s="85" t="s">
        <v>744</v>
      </c>
      <c r="E1202" s="96" t="s">
        <v>748</v>
      </c>
      <c r="F1202" s="87" t="s">
        <v>801</v>
      </c>
      <c r="G1202" s="88" t="s">
        <v>721</v>
      </c>
    </row>
    <row r="1203" spans="1:7" s="77" customFormat="1" ht="15" hidden="1" customHeight="1">
      <c r="A1203" s="83">
        <v>45902</v>
      </c>
      <c r="B1203" s="77" t="s">
        <v>636</v>
      </c>
      <c r="C1203" s="77" t="s">
        <v>717</v>
      </c>
      <c r="D1203" s="85" t="s">
        <v>744</v>
      </c>
      <c r="E1203" s="96" t="s">
        <v>749</v>
      </c>
      <c r="F1203" s="87" t="s">
        <v>801</v>
      </c>
      <c r="G1203" s="88" t="s">
        <v>721</v>
      </c>
    </row>
    <row r="1204" spans="1:7" s="77" customFormat="1" ht="15" hidden="1" customHeight="1">
      <c r="A1204" s="83">
        <v>45902</v>
      </c>
      <c r="B1204" s="77" t="s">
        <v>636</v>
      </c>
      <c r="C1204" s="77" t="s">
        <v>717</v>
      </c>
      <c r="D1204" s="85" t="s">
        <v>750</v>
      </c>
      <c r="E1204" s="96" t="s">
        <v>751</v>
      </c>
      <c r="F1204" s="87" t="s">
        <v>728</v>
      </c>
      <c r="G1204" s="88" t="s">
        <v>721</v>
      </c>
    </row>
    <row r="1205" spans="1:7" s="77" customFormat="1" ht="15" hidden="1" customHeight="1">
      <c r="A1205" s="83">
        <v>45902</v>
      </c>
      <c r="B1205" s="77" t="s">
        <v>636</v>
      </c>
      <c r="C1205" s="77" t="s">
        <v>717</v>
      </c>
      <c r="D1205" s="85" t="s">
        <v>750</v>
      </c>
      <c r="E1205" s="96" t="s">
        <v>752</v>
      </c>
      <c r="F1205" s="87" t="s">
        <v>728</v>
      </c>
      <c r="G1205" s="88" t="s">
        <v>721</v>
      </c>
    </row>
    <row r="1206" spans="1:7" s="77" customFormat="1" ht="15" hidden="1" customHeight="1">
      <c r="A1206" s="83">
        <v>45902</v>
      </c>
      <c r="B1206" s="77" t="s">
        <v>636</v>
      </c>
      <c r="C1206" s="77" t="s">
        <v>717</v>
      </c>
      <c r="D1206" s="85" t="s">
        <v>750</v>
      </c>
      <c r="E1206" s="96" t="s">
        <v>753</v>
      </c>
      <c r="F1206" s="87" t="s">
        <v>728</v>
      </c>
      <c r="G1206" s="88" t="s">
        <v>721</v>
      </c>
    </row>
    <row r="1207" spans="1:7" s="77" customFormat="1" ht="15" hidden="1" customHeight="1">
      <c r="A1207" s="83">
        <v>45902</v>
      </c>
      <c r="B1207" s="77" t="s">
        <v>636</v>
      </c>
      <c r="C1207" s="77" t="s">
        <v>717</v>
      </c>
      <c r="D1207" s="85" t="s">
        <v>750</v>
      </c>
      <c r="E1207" s="96" t="s">
        <v>754</v>
      </c>
      <c r="F1207" s="87" t="s">
        <v>728</v>
      </c>
      <c r="G1207" s="88" t="s">
        <v>721</v>
      </c>
    </row>
    <row r="1208" spans="1:7" s="77" customFormat="1" ht="15" hidden="1" customHeight="1">
      <c r="A1208" s="83">
        <v>45902</v>
      </c>
      <c r="B1208" s="77" t="s">
        <v>636</v>
      </c>
      <c r="C1208" s="77" t="s">
        <v>717</v>
      </c>
      <c r="D1208" s="85" t="s">
        <v>755</v>
      </c>
      <c r="E1208" s="86" t="s">
        <v>756</v>
      </c>
      <c r="F1208" s="87" t="s">
        <v>802</v>
      </c>
      <c r="G1208" s="88" t="s">
        <v>721</v>
      </c>
    </row>
    <row r="1209" spans="1:7" s="77" customFormat="1" ht="15" hidden="1" customHeight="1">
      <c r="A1209" s="83">
        <v>45902</v>
      </c>
      <c r="B1209" s="77" t="s">
        <v>636</v>
      </c>
      <c r="C1209" s="77" t="s">
        <v>717</v>
      </c>
      <c r="D1209" s="85" t="s">
        <v>755</v>
      </c>
      <c r="E1209" s="96" t="s">
        <v>757</v>
      </c>
      <c r="F1209" s="87" t="s">
        <v>802</v>
      </c>
      <c r="G1209" s="88" t="s">
        <v>721</v>
      </c>
    </row>
    <row r="1210" spans="1:7" s="77" customFormat="1" ht="15" hidden="1" customHeight="1">
      <c r="A1210" s="83">
        <v>45902</v>
      </c>
      <c r="B1210" s="77" t="s">
        <v>636</v>
      </c>
      <c r="C1210" s="77" t="s">
        <v>717</v>
      </c>
      <c r="D1210" s="85" t="s">
        <v>758</v>
      </c>
      <c r="E1210" s="96" t="s">
        <v>759</v>
      </c>
      <c r="F1210" s="87" t="s">
        <v>728</v>
      </c>
      <c r="G1210" s="88" t="s">
        <v>721</v>
      </c>
    </row>
    <row r="1211" spans="1:7" s="77" customFormat="1" ht="15" hidden="1" customHeight="1">
      <c r="A1211" s="83">
        <v>45902</v>
      </c>
      <c r="B1211" s="77" t="s">
        <v>636</v>
      </c>
      <c r="C1211" s="77" t="s">
        <v>717</v>
      </c>
      <c r="D1211" s="85" t="s">
        <v>758</v>
      </c>
      <c r="E1211" s="96" t="s">
        <v>760</v>
      </c>
      <c r="F1211" s="87" t="s">
        <v>728</v>
      </c>
      <c r="G1211" s="88" t="s">
        <v>721</v>
      </c>
    </row>
    <row r="1212" spans="1:7" s="77" customFormat="1" ht="15" hidden="1" customHeight="1">
      <c r="A1212" s="83">
        <v>45902</v>
      </c>
      <c r="B1212" s="77" t="s">
        <v>636</v>
      </c>
      <c r="C1212" s="77" t="s">
        <v>717</v>
      </c>
      <c r="D1212" s="85" t="s">
        <v>758</v>
      </c>
      <c r="E1212" s="96" t="s">
        <v>761</v>
      </c>
      <c r="F1212" s="87" t="s">
        <v>728</v>
      </c>
      <c r="G1212" s="88" t="s">
        <v>721</v>
      </c>
    </row>
    <row r="1213" spans="1:7" s="77" customFormat="1" ht="15" hidden="1" customHeight="1">
      <c r="A1213" s="83">
        <v>45902</v>
      </c>
      <c r="B1213" s="77" t="s">
        <v>636</v>
      </c>
      <c r="C1213" s="77" t="s">
        <v>717</v>
      </c>
      <c r="D1213" s="85" t="s">
        <v>758</v>
      </c>
      <c r="E1213" s="96" t="s">
        <v>762</v>
      </c>
      <c r="F1213" s="87" t="s">
        <v>728</v>
      </c>
      <c r="G1213" s="88" t="s">
        <v>721</v>
      </c>
    </row>
    <row r="1214" spans="1:7" s="77" customFormat="1" ht="15" hidden="1" customHeight="1">
      <c r="A1214" s="83">
        <v>45902</v>
      </c>
      <c r="B1214" s="77" t="s">
        <v>636</v>
      </c>
      <c r="C1214" s="77" t="s">
        <v>717</v>
      </c>
      <c r="D1214" s="85" t="s">
        <v>758</v>
      </c>
      <c r="E1214" s="96" t="s">
        <v>763</v>
      </c>
      <c r="F1214" s="87" t="s">
        <v>728</v>
      </c>
      <c r="G1214" s="88" t="s">
        <v>721</v>
      </c>
    </row>
    <row r="1215" spans="1:7" s="77" customFormat="1" ht="15" hidden="1" customHeight="1">
      <c r="A1215" s="83">
        <v>45902</v>
      </c>
      <c r="B1215" s="77" t="s">
        <v>636</v>
      </c>
      <c r="C1215" s="77" t="s">
        <v>717</v>
      </c>
      <c r="D1215" s="85" t="s">
        <v>758</v>
      </c>
      <c r="E1215" s="96" t="s">
        <v>764</v>
      </c>
      <c r="F1215" s="87" t="s">
        <v>728</v>
      </c>
      <c r="G1215" s="88" t="s">
        <v>721</v>
      </c>
    </row>
    <row r="1216" spans="1:7" s="77" customFormat="1" ht="15" hidden="1" customHeight="1">
      <c r="A1216" s="83">
        <v>45902</v>
      </c>
      <c r="B1216" s="77" t="s">
        <v>636</v>
      </c>
      <c r="C1216" s="77" t="s">
        <v>717</v>
      </c>
      <c r="D1216" s="85" t="s">
        <v>718</v>
      </c>
      <c r="E1216" s="96" t="s">
        <v>719</v>
      </c>
      <c r="F1216" s="87" t="s">
        <v>728</v>
      </c>
      <c r="G1216" s="88" t="s">
        <v>721</v>
      </c>
    </row>
    <row r="1217" spans="1:11" s="77" customFormat="1" ht="15" hidden="1" customHeight="1">
      <c r="A1217" s="83">
        <v>45902</v>
      </c>
      <c r="B1217" s="77" t="s">
        <v>636</v>
      </c>
      <c r="C1217" s="77" t="s">
        <v>717</v>
      </c>
      <c r="D1217" s="85" t="s">
        <v>718</v>
      </c>
      <c r="E1217" s="86" t="s">
        <v>765</v>
      </c>
      <c r="F1217" s="87" t="s">
        <v>728</v>
      </c>
      <c r="G1217" s="88" t="s">
        <v>721</v>
      </c>
    </row>
    <row r="1218" spans="1:11" s="77" customFormat="1" ht="15" hidden="1" customHeight="1">
      <c r="A1218" s="83">
        <v>45902</v>
      </c>
      <c r="B1218" s="77" t="s">
        <v>636</v>
      </c>
      <c r="C1218" s="77" t="s">
        <v>717</v>
      </c>
      <c r="D1218" s="85" t="s">
        <v>718</v>
      </c>
      <c r="E1218" s="86" t="s">
        <v>766</v>
      </c>
      <c r="F1218" s="87" t="s">
        <v>728</v>
      </c>
      <c r="G1218" s="88" t="s">
        <v>721</v>
      </c>
    </row>
    <row r="1219" spans="1:11" s="77" customFormat="1" ht="15" hidden="1" customHeight="1">
      <c r="A1219" s="83">
        <v>45902</v>
      </c>
      <c r="B1219" s="77" t="s">
        <v>636</v>
      </c>
      <c r="C1219" s="77" t="s">
        <v>717</v>
      </c>
      <c r="D1219" s="85" t="s">
        <v>718</v>
      </c>
      <c r="E1219" s="86" t="s">
        <v>767</v>
      </c>
      <c r="F1219" s="87" t="s">
        <v>728</v>
      </c>
      <c r="G1219" s="88" t="s">
        <v>721</v>
      </c>
    </row>
    <row r="1220" spans="1:11" s="77" customFormat="1" ht="15" hidden="1" customHeight="1">
      <c r="A1220" s="83">
        <v>45902</v>
      </c>
      <c r="B1220" s="77" t="s">
        <v>636</v>
      </c>
      <c r="C1220" s="77" t="s">
        <v>717</v>
      </c>
      <c r="D1220" s="85" t="s">
        <v>718</v>
      </c>
      <c r="E1220" s="86" t="s">
        <v>768</v>
      </c>
      <c r="F1220" s="87" t="s">
        <v>728</v>
      </c>
      <c r="G1220" s="88" t="s">
        <v>721</v>
      </c>
    </row>
    <row r="1221" spans="1:11" s="77" customFormat="1" ht="15" hidden="1" customHeight="1">
      <c r="A1221" s="83">
        <v>45902</v>
      </c>
      <c r="B1221" s="77" t="s">
        <v>636</v>
      </c>
      <c r="C1221" s="77" t="s">
        <v>717</v>
      </c>
      <c r="D1221" s="85" t="s">
        <v>718</v>
      </c>
      <c r="E1221" s="86" t="s">
        <v>769</v>
      </c>
      <c r="F1221" s="87" t="s">
        <v>728</v>
      </c>
      <c r="G1221" s="88" t="s">
        <v>721</v>
      </c>
    </row>
    <row r="1222" spans="1:11" s="77" customFormat="1" ht="15" hidden="1" customHeight="1">
      <c r="A1222" s="83">
        <v>45902</v>
      </c>
      <c r="B1222" s="77" t="s">
        <v>636</v>
      </c>
      <c r="C1222" s="77" t="s">
        <v>717</v>
      </c>
      <c r="D1222" s="85" t="s">
        <v>718</v>
      </c>
      <c r="E1222" s="86" t="s">
        <v>770</v>
      </c>
      <c r="F1222" s="87" t="s">
        <v>728</v>
      </c>
      <c r="G1222" s="88" t="s">
        <v>721</v>
      </c>
    </row>
    <row r="1223" spans="1:11" s="77" customFormat="1" ht="15" hidden="1" customHeight="1">
      <c r="A1223" s="83">
        <v>45902</v>
      </c>
      <c r="B1223" s="77" t="s">
        <v>636</v>
      </c>
      <c r="C1223" s="77" t="s">
        <v>717</v>
      </c>
      <c r="D1223" s="85" t="s">
        <v>718</v>
      </c>
      <c r="E1223" s="86" t="s">
        <v>771</v>
      </c>
      <c r="F1223" s="87" t="s">
        <v>728</v>
      </c>
      <c r="G1223" s="88" t="s">
        <v>721</v>
      </c>
    </row>
    <row r="1224" spans="1:11" s="77" customFormat="1" ht="15" hidden="1" customHeight="1">
      <c r="A1224" s="83">
        <v>45902</v>
      </c>
      <c r="B1224" s="77" t="s">
        <v>636</v>
      </c>
      <c r="C1224" s="77" t="s">
        <v>717</v>
      </c>
      <c r="D1224" s="85" t="s">
        <v>718</v>
      </c>
      <c r="E1224" s="86" t="s">
        <v>772</v>
      </c>
      <c r="F1224" s="87" t="s">
        <v>728</v>
      </c>
      <c r="G1224" s="88" t="s">
        <v>721</v>
      </c>
    </row>
    <row r="1225" spans="1:11" s="77" customFormat="1" ht="15" hidden="1" customHeight="1">
      <c r="A1225" s="83">
        <v>45902</v>
      </c>
      <c r="B1225" s="77" t="s">
        <v>636</v>
      </c>
      <c r="C1225" s="77" t="s">
        <v>717</v>
      </c>
      <c r="D1225" s="85" t="s">
        <v>718</v>
      </c>
      <c r="E1225" s="96" t="s">
        <v>803</v>
      </c>
      <c r="F1225" s="87" t="s">
        <v>728</v>
      </c>
      <c r="G1225" s="88" t="s">
        <v>721</v>
      </c>
    </row>
    <row r="1226" spans="1:11" s="77" customFormat="1" ht="15" hidden="1" customHeight="1">
      <c r="A1226" s="83">
        <v>45902</v>
      </c>
      <c r="B1226" s="77" t="s">
        <v>627</v>
      </c>
      <c r="C1226" s="77" t="s">
        <v>717</v>
      </c>
      <c r="D1226" s="86" t="s">
        <v>726</v>
      </c>
      <c r="E1226" s="95" t="s">
        <v>727</v>
      </c>
      <c r="F1226" s="87" t="s">
        <v>728</v>
      </c>
      <c r="G1226" s="88" t="s">
        <v>721</v>
      </c>
    </row>
    <row r="1227" spans="1:11" s="77" customFormat="1" ht="15" hidden="1" customHeight="1">
      <c r="A1227" s="83">
        <v>45902</v>
      </c>
      <c r="B1227" s="77" t="s">
        <v>627</v>
      </c>
      <c r="C1227" s="77" t="s">
        <v>717</v>
      </c>
      <c r="D1227" s="86" t="s">
        <v>726</v>
      </c>
      <c r="E1227" s="96" t="s">
        <v>729</v>
      </c>
      <c r="F1227" s="87" t="s">
        <v>728</v>
      </c>
      <c r="G1227" s="88" t="s">
        <v>721</v>
      </c>
    </row>
    <row r="1228" spans="1:11" s="77" customFormat="1" ht="15" hidden="1" customHeight="1">
      <c r="A1228" s="83">
        <v>45902</v>
      </c>
      <c r="B1228" s="77" t="s">
        <v>627</v>
      </c>
      <c r="C1228" s="77" t="s">
        <v>717</v>
      </c>
      <c r="D1228" s="86" t="s">
        <v>726</v>
      </c>
      <c r="E1228" s="96" t="s">
        <v>730</v>
      </c>
      <c r="F1228" s="87" t="s">
        <v>728</v>
      </c>
      <c r="G1228" s="88" t="s">
        <v>721</v>
      </c>
    </row>
    <row r="1229" spans="1:11" ht="15" customHeight="1">
      <c r="A1229" s="90">
        <v>45902</v>
      </c>
      <c r="B1229" s="78" t="s">
        <v>627</v>
      </c>
      <c r="C1229" s="78" t="s">
        <v>717</v>
      </c>
      <c r="D1229" s="91" t="s">
        <v>726</v>
      </c>
      <c r="E1229" s="78" t="s">
        <v>731</v>
      </c>
      <c r="F1229" s="80" t="s">
        <v>868</v>
      </c>
      <c r="G1229" s="94">
        <v>1856145</v>
      </c>
      <c r="H1229" s="78" t="s">
        <v>354</v>
      </c>
      <c r="I1229" s="78" t="s">
        <v>724</v>
      </c>
      <c r="J1229" s="78" t="s">
        <v>856</v>
      </c>
      <c r="K1229" s="78" t="s">
        <v>354</v>
      </c>
    </row>
    <row r="1230" spans="1:11" ht="15" customHeight="1">
      <c r="A1230" s="90">
        <v>45902</v>
      </c>
      <c r="B1230" s="78" t="s">
        <v>627</v>
      </c>
      <c r="C1230" s="78" t="s">
        <v>717</v>
      </c>
      <c r="D1230" s="91" t="s">
        <v>726</v>
      </c>
      <c r="E1230" s="78" t="s">
        <v>732</v>
      </c>
      <c r="F1230" s="80" t="s">
        <v>869</v>
      </c>
      <c r="G1230" s="94">
        <v>1856145</v>
      </c>
      <c r="H1230" s="78" t="s">
        <v>354</v>
      </c>
      <c r="I1230" s="78" t="s">
        <v>724</v>
      </c>
      <c r="J1230" s="78" t="s">
        <v>856</v>
      </c>
      <c r="K1230" s="78" t="s">
        <v>354</v>
      </c>
    </row>
    <row r="1231" spans="1:11" s="77" customFormat="1" ht="15" hidden="1" customHeight="1">
      <c r="A1231" s="83">
        <v>45902</v>
      </c>
      <c r="B1231" s="77" t="s">
        <v>627</v>
      </c>
      <c r="C1231" s="77" t="s">
        <v>717</v>
      </c>
      <c r="D1231" s="86" t="s">
        <v>726</v>
      </c>
      <c r="E1231" s="96" t="s">
        <v>733</v>
      </c>
      <c r="F1231" s="87" t="s">
        <v>728</v>
      </c>
      <c r="G1231" s="88" t="s">
        <v>721</v>
      </c>
    </row>
    <row r="1232" spans="1:11" s="77" customFormat="1" ht="15" hidden="1" customHeight="1">
      <c r="A1232" s="83">
        <v>45902</v>
      </c>
      <c r="B1232" s="77" t="s">
        <v>627</v>
      </c>
      <c r="C1232" s="77" t="s">
        <v>717</v>
      </c>
      <c r="D1232" s="86" t="s">
        <v>726</v>
      </c>
      <c r="E1232" s="96" t="s">
        <v>734</v>
      </c>
      <c r="F1232" s="87" t="s">
        <v>728</v>
      </c>
      <c r="G1232" s="88" t="s">
        <v>721</v>
      </c>
    </row>
    <row r="1233" spans="1:11" s="77" customFormat="1" ht="15" hidden="1" customHeight="1">
      <c r="A1233" s="83">
        <v>45902</v>
      </c>
      <c r="B1233" s="77" t="s">
        <v>627</v>
      </c>
      <c r="C1233" s="77" t="s">
        <v>717</v>
      </c>
      <c r="D1233" s="86" t="s">
        <v>726</v>
      </c>
      <c r="E1233" s="96" t="s">
        <v>735</v>
      </c>
      <c r="F1233" s="87" t="s">
        <v>728</v>
      </c>
      <c r="G1233" s="88" t="s">
        <v>721</v>
      </c>
    </row>
    <row r="1234" spans="1:11" s="77" customFormat="1" ht="15" hidden="1" customHeight="1">
      <c r="A1234" s="83">
        <v>45902</v>
      </c>
      <c r="B1234" s="77" t="s">
        <v>627</v>
      </c>
      <c r="C1234" s="77" t="s">
        <v>717</v>
      </c>
      <c r="D1234" s="86" t="s">
        <v>736</v>
      </c>
      <c r="E1234" s="96" t="s">
        <v>737</v>
      </c>
      <c r="F1234" s="87" t="s">
        <v>728</v>
      </c>
      <c r="G1234" s="88" t="s">
        <v>721</v>
      </c>
    </row>
    <row r="1235" spans="1:11" s="77" customFormat="1" ht="15" hidden="1" customHeight="1">
      <c r="A1235" s="83">
        <v>45902</v>
      </c>
      <c r="B1235" s="77" t="s">
        <v>627</v>
      </c>
      <c r="C1235" s="77" t="s">
        <v>717</v>
      </c>
      <c r="D1235" s="86" t="s">
        <v>736</v>
      </c>
      <c r="E1235" s="96" t="s">
        <v>738</v>
      </c>
      <c r="F1235" s="87" t="s">
        <v>728</v>
      </c>
      <c r="G1235" s="88" t="s">
        <v>721</v>
      </c>
    </row>
    <row r="1236" spans="1:11" ht="15" customHeight="1">
      <c r="A1236" s="90">
        <v>45902</v>
      </c>
      <c r="B1236" s="78" t="s">
        <v>627</v>
      </c>
      <c r="C1236" s="78" t="s">
        <v>717</v>
      </c>
      <c r="D1236" s="92" t="s">
        <v>739</v>
      </c>
      <c r="E1236" s="78" t="s">
        <v>740</v>
      </c>
      <c r="F1236" s="80" t="s">
        <v>805</v>
      </c>
      <c r="G1236" s="94">
        <v>1856145</v>
      </c>
      <c r="H1236" s="78" t="s">
        <v>354</v>
      </c>
      <c r="I1236" s="78" t="s">
        <v>724</v>
      </c>
      <c r="J1236" s="78" t="s">
        <v>856</v>
      </c>
      <c r="K1236" s="78" t="s">
        <v>354</v>
      </c>
    </row>
    <row r="1237" spans="1:11" s="77" customFormat="1" ht="15" hidden="1" customHeight="1">
      <c r="A1237" s="83">
        <v>45902</v>
      </c>
      <c r="B1237" s="77" t="s">
        <v>627</v>
      </c>
      <c r="C1237" s="77" t="s">
        <v>717</v>
      </c>
      <c r="D1237" s="85" t="s">
        <v>739</v>
      </c>
      <c r="E1237" s="96" t="s">
        <v>741</v>
      </c>
      <c r="F1237" s="87" t="s">
        <v>728</v>
      </c>
      <c r="G1237" s="88" t="s">
        <v>721</v>
      </c>
    </row>
    <row r="1238" spans="1:11" s="77" customFormat="1" ht="15" hidden="1" customHeight="1">
      <c r="A1238" s="83">
        <v>45902</v>
      </c>
      <c r="B1238" s="77" t="s">
        <v>627</v>
      </c>
      <c r="C1238" s="77" t="s">
        <v>717</v>
      </c>
      <c r="D1238" s="85" t="s">
        <v>739</v>
      </c>
      <c r="E1238" s="96" t="s">
        <v>743</v>
      </c>
      <c r="F1238" s="87" t="s">
        <v>728</v>
      </c>
      <c r="G1238" s="88" t="s">
        <v>721</v>
      </c>
    </row>
    <row r="1239" spans="1:11" s="77" customFormat="1" ht="15" hidden="1" customHeight="1">
      <c r="A1239" s="83">
        <v>45902</v>
      </c>
      <c r="B1239" s="77" t="s">
        <v>627</v>
      </c>
      <c r="C1239" s="77" t="s">
        <v>717</v>
      </c>
      <c r="D1239" s="85" t="s">
        <v>744</v>
      </c>
      <c r="E1239" s="96" t="s">
        <v>745</v>
      </c>
      <c r="F1239" s="87" t="s">
        <v>728</v>
      </c>
      <c r="G1239" s="88" t="s">
        <v>721</v>
      </c>
    </row>
    <row r="1240" spans="1:11" s="77" customFormat="1" ht="15" hidden="1" customHeight="1">
      <c r="A1240" s="83">
        <v>45902</v>
      </c>
      <c r="B1240" s="77" t="s">
        <v>627</v>
      </c>
      <c r="C1240" s="77" t="s">
        <v>717</v>
      </c>
      <c r="D1240" s="85" t="s">
        <v>744</v>
      </c>
      <c r="E1240" s="96" t="s">
        <v>746</v>
      </c>
      <c r="F1240" s="87" t="s">
        <v>728</v>
      </c>
      <c r="G1240" s="88" t="s">
        <v>721</v>
      </c>
    </row>
    <row r="1241" spans="1:11" s="77" customFormat="1" ht="15" hidden="1" customHeight="1">
      <c r="A1241" s="83">
        <v>45902</v>
      </c>
      <c r="B1241" s="77" t="s">
        <v>627</v>
      </c>
      <c r="C1241" s="77" t="s">
        <v>717</v>
      </c>
      <c r="D1241" s="85" t="s">
        <v>744</v>
      </c>
      <c r="E1241" s="96" t="s">
        <v>747</v>
      </c>
      <c r="F1241" s="98" t="s">
        <v>801</v>
      </c>
      <c r="G1241" s="88" t="s">
        <v>721</v>
      </c>
    </row>
    <row r="1242" spans="1:11" s="77" customFormat="1" ht="15" hidden="1" customHeight="1">
      <c r="A1242" s="83">
        <v>45902</v>
      </c>
      <c r="B1242" s="77" t="s">
        <v>627</v>
      </c>
      <c r="C1242" s="77" t="s">
        <v>717</v>
      </c>
      <c r="D1242" s="85" t="s">
        <v>744</v>
      </c>
      <c r="E1242" s="96" t="s">
        <v>748</v>
      </c>
      <c r="F1242" s="98" t="s">
        <v>801</v>
      </c>
      <c r="G1242" s="88" t="s">
        <v>721</v>
      </c>
    </row>
    <row r="1243" spans="1:11" s="77" customFormat="1" ht="15" hidden="1" customHeight="1">
      <c r="A1243" s="83">
        <v>45902</v>
      </c>
      <c r="B1243" s="77" t="s">
        <v>627</v>
      </c>
      <c r="C1243" s="77" t="s">
        <v>717</v>
      </c>
      <c r="D1243" s="85" t="s">
        <v>744</v>
      </c>
      <c r="E1243" s="96" t="s">
        <v>749</v>
      </c>
      <c r="F1243" s="98" t="s">
        <v>801</v>
      </c>
      <c r="G1243" s="88" t="s">
        <v>721</v>
      </c>
    </row>
    <row r="1244" spans="1:11" s="77" customFormat="1" ht="15" hidden="1" customHeight="1">
      <c r="A1244" s="83">
        <v>45902</v>
      </c>
      <c r="B1244" s="77" t="s">
        <v>627</v>
      </c>
      <c r="C1244" s="77" t="s">
        <v>717</v>
      </c>
      <c r="D1244" s="85" t="s">
        <v>750</v>
      </c>
      <c r="E1244" s="96" t="s">
        <v>751</v>
      </c>
      <c r="F1244" s="98" t="s">
        <v>728</v>
      </c>
      <c r="G1244" s="88" t="s">
        <v>721</v>
      </c>
    </row>
    <row r="1245" spans="1:11" s="77" customFormat="1" ht="15" hidden="1" customHeight="1">
      <c r="A1245" s="83">
        <v>45902</v>
      </c>
      <c r="B1245" s="77" t="s">
        <v>627</v>
      </c>
      <c r="C1245" s="77" t="s">
        <v>717</v>
      </c>
      <c r="D1245" s="85" t="s">
        <v>750</v>
      </c>
      <c r="E1245" s="96" t="s">
        <v>752</v>
      </c>
      <c r="F1245" s="98" t="s">
        <v>728</v>
      </c>
      <c r="G1245" s="88" t="s">
        <v>721</v>
      </c>
    </row>
    <row r="1246" spans="1:11" s="77" customFormat="1" ht="15" hidden="1" customHeight="1">
      <c r="A1246" s="83">
        <v>45902</v>
      </c>
      <c r="B1246" s="77" t="s">
        <v>627</v>
      </c>
      <c r="C1246" s="77" t="s">
        <v>717</v>
      </c>
      <c r="D1246" s="85" t="s">
        <v>750</v>
      </c>
      <c r="E1246" s="96" t="s">
        <v>753</v>
      </c>
      <c r="F1246" s="98" t="s">
        <v>728</v>
      </c>
      <c r="G1246" s="88" t="s">
        <v>721</v>
      </c>
    </row>
    <row r="1247" spans="1:11" ht="15" customHeight="1">
      <c r="A1247" s="90">
        <v>45902</v>
      </c>
      <c r="B1247" s="78" t="s">
        <v>627</v>
      </c>
      <c r="C1247" s="78" t="s">
        <v>717</v>
      </c>
      <c r="D1247" s="92" t="s">
        <v>750</v>
      </c>
      <c r="E1247" s="78" t="s">
        <v>754</v>
      </c>
      <c r="F1247" s="80" t="s">
        <v>806</v>
      </c>
      <c r="G1247" s="94">
        <v>1856145</v>
      </c>
      <c r="H1247" s="78" t="s">
        <v>354</v>
      </c>
      <c r="I1247" s="78" t="s">
        <v>724</v>
      </c>
      <c r="J1247" s="78" t="s">
        <v>856</v>
      </c>
      <c r="K1247" s="78" t="s">
        <v>354</v>
      </c>
    </row>
    <row r="1248" spans="1:11" s="77" customFormat="1" ht="15" hidden="1" customHeight="1">
      <c r="A1248" s="83">
        <v>45902</v>
      </c>
      <c r="B1248" s="77" t="s">
        <v>627</v>
      </c>
      <c r="C1248" s="77" t="s">
        <v>717</v>
      </c>
      <c r="D1248" s="85" t="s">
        <v>755</v>
      </c>
      <c r="E1248" s="86" t="s">
        <v>756</v>
      </c>
      <c r="F1248" s="87" t="s">
        <v>802</v>
      </c>
      <c r="G1248" s="88" t="s">
        <v>721</v>
      </c>
    </row>
    <row r="1249" spans="1:7" s="77" customFormat="1" ht="15" hidden="1" customHeight="1">
      <c r="A1249" s="83">
        <v>45902</v>
      </c>
      <c r="B1249" s="77" t="s">
        <v>627</v>
      </c>
      <c r="C1249" s="77" t="s">
        <v>717</v>
      </c>
      <c r="D1249" s="85" t="s">
        <v>755</v>
      </c>
      <c r="E1249" s="96" t="s">
        <v>757</v>
      </c>
      <c r="F1249" s="87" t="s">
        <v>802</v>
      </c>
      <c r="G1249" s="88" t="s">
        <v>721</v>
      </c>
    </row>
    <row r="1250" spans="1:7" s="77" customFormat="1" ht="15" hidden="1" customHeight="1">
      <c r="A1250" s="83">
        <v>45902</v>
      </c>
      <c r="B1250" s="77" t="s">
        <v>627</v>
      </c>
      <c r="C1250" s="77" t="s">
        <v>717</v>
      </c>
      <c r="D1250" s="85" t="s">
        <v>758</v>
      </c>
      <c r="E1250" s="96" t="s">
        <v>759</v>
      </c>
      <c r="F1250" s="98" t="s">
        <v>728</v>
      </c>
      <c r="G1250" s="88" t="s">
        <v>721</v>
      </c>
    </row>
    <row r="1251" spans="1:7" s="77" customFormat="1" ht="15" hidden="1" customHeight="1">
      <c r="A1251" s="83">
        <v>45902</v>
      </c>
      <c r="B1251" s="77" t="s">
        <v>627</v>
      </c>
      <c r="C1251" s="77" t="s">
        <v>717</v>
      </c>
      <c r="D1251" s="85" t="s">
        <v>758</v>
      </c>
      <c r="E1251" s="96" t="s">
        <v>760</v>
      </c>
      <c r="F1251" s="98" t="s">
        <v>728</v>
      </c>
      <c r="G1251" s="88" t="s">
        <v>721</v>
      </c>
    </row>
    <row r="1252" spans="1:7" s="77" customFormat="1" ht="15" hidden="1" customHeight="1">
      <c r="A1252" s="83">
        <v>45902</v>
      </c>
      <c r="B1252" s="77" t="s">
        <v>627</v>
      </c>
      <c r="C1252" s="77" t="s">
        <v>717</v>
      </c>
      <c r="D1252" s="85" t="s">
        <v>758</v>
      </c>
      <c r="E1252" s="96" t="s">
        <v>761</v>
      </c>
      <c r="F1252" s="98" t="s">
        <v>728</v>
      </c>
      <c r="G1252" s="88" t="s">
        <v>721</v>
      </c>
    </row>
    <row r="1253" spans="1:7" s="77" customFormat="1" ht="15" hidden="1" customHeight="1">
      <c r="A1253" s="83">
        <v>45902</v>
      </c>
      <c r="B1253" s="77" t="s">
        <v>627</v>
      </c>
      <c r="C1253" s="77" t="s">
        <v>717</v>
      </c>
      <c r="D1253" s="85" t="s">
        <v>758</v>
      </c>
      <c r="E1253" s="96" t="s">
        <v>762</v>
      </c>
      <c r="F1253" s="98" t="s">
        <v>728</v>
      </c>
      <c r="G1253" s="88" t="s">
        <v>721</v>
      </c>
    </row>
    <row r="1254" spans="1:7" s="77" customFormat="1" ht="15" hidden="1" customHeight="1">
      <c r="A1254" s="83">
        <v>45902</v>
      </c>
      <c r="B1254" s="77" t="s">
        <v>627</v>
      </c>
      <c r="C1254" s="77" t="s">
        <v>717</v>
      </c>
      <c r="D1254" s="85" t="s">
        <v>758</v>
      </c>
      <c r="E1254" s="96" t="s">
        <v>763</v>
      </c>
      <c r="F1254" s="98" t="s">
        <v>728</v>
      </c>
      <c r="G1254" s="88" t="s">
        <v>721</v>
      </c>
    </row>
    <row r="1255" spans="1:7" s="77" customFormat="1" ht="15" hidden="1" customHeight="1">
      <c r="A1255" s="83">
        <v>45902</v>
      </c>
      <c r="B1255" s="77" t="s">
        <v>627</v>
      </c>
      <c r="C1255" s="77" t="s">
        <v>717</v>
      </c>
      <c r="D1255" s="85" t="s">
        <v>758</v>
      </c>
      <c r="E1255" s="96" t="s">
        <v>764</v>
      </c>
      <c r="F1255" s="98" t="s">
        <v>728</v>
      </c>
      <c r="G1255" s="88" t="s">
        <v>721</v>
      </c>
    </row>
    <row r="1256" spans="1:7" s="77" customFormat="1" ht="15" hidden="1" customHeight="1">
      <c r="A1256" s="83">
        <v>45902</v>
      </c>
      <c r="B1256" s="77" t="s">
        <v>627</v>
      </c>
      <c r="C1256" s="77" t="s">
        <v>717</v>
      </c>
      <c r="D1256" s="85" t="s">
        <v>718</v>
      </c>
      <c r="E1256" s="96" t="s">
        <v>719</v>
      </c>
      <c r="F1256" s="98" t="s">
        <v>728</v>
      </c>
      <c r="G1256" s="88" t="s">
        <v>721</v>
      </c>
    </row>
    <row r="1257" spans="1:7" s="77" customFormat="1" ht="15" hidden="1" customHeight="1">
      <c r="A1257" s="83">
        <v>45902</v>
      </c>
      <c r="B1257" s="77" t="s">
        <v>627</v>
      </c>
      <c r="C1257" s="77" t="s">
        <v>717</v>
      </c>
      <c r="D1257" s="85" t="s">
        <v>718</v>
      </c>
      <c r="E1257" s="86" t="s">
        <v>765</v>
      </c>
      <c r="F1257" s="98" t="s">
        <v>728</v>
      </c>
      <c r="G1257" s="88" t="s">
        <v>721</v>
      </c>
    </row>
    <row r="1258" spans="1:7" s="77" customFormat="1" ht="15" hidden="1" customHeight="1">
      <c r="A1258" s="83">
        <v>45902</v>
      </c>
      <c r="B1258" s="77" t="s">
        <v>627</v>
      </c>
      <c r="C1258" s="77" t="s">
        <v>717</v>
      </c>
      <c r="D1258" s="85" t="s">
        <v>718</v>
      </c>
      <c r="E1258" s="86" t="s">
        <v>766</v>
      </c>
      <c r="F1258" s="98" t="s">
        <v>728</v>
      </c>
      <c r="G1258" s="88" t="s">
        <v>721</v>
      </c>
    </row>
    <row r="1259" spans="1:7" s="77" customFormat="1" ht="15" hidden="1" customHeight="1">
      <c r="A1259" s="83">
        <v>45902</v>
      </c>
      <c r="B1259" s="77" t="s">
        <v>627</v>
      </c>
      <c r="C1259" s="77" t="s">
        <v>717</v>
      </c>
      <c r="D1259" s="85" t="s">
        <v>718</v>
      </c>
      <c r="E1259" s="86" t="s">
        <v>767</v>
      </c>
      <c r="F1259" s="98" t="s">
        <v>728</v>
      </c>
      <c r="G1259" s="88" t="s">
        <v>721</v>
      </c>
    </row>
    <row r="1260" spans="1:7" s="77" customFormat="1" ht="15" hidden="1" customHeight="1">
      <c r="A1260" s="83">
        <v>45902</v>
      </c>
      <c r="B1260" s="77" t="s">
        <v>627</v>
      </c>
      <c r="C1260" s="77" t="s">
        <v>717</v>
      </c>
      <c r="D1260" s="85" t="s">
        <v>718</v>
      </c>
      <c r="E1260" s="86" t="s">
        <v>768</v>
      </c>
      <c r="F1260" s="98" t="s">
        <v>728</v>
      </c>
      <c r="G1260" s="88" t="s">
        <v>721</v>
      </c>
    </row>
    <row r="1261" spans="1:7" s="77" customFormat="1" ht="15" hidden="1" customHeight="1">
      <c r="A1261" s="83">
        <v>45902</v>
      </c>
      <c r="B1261" s="77" t="s">
        <v>627</v>
      </c>
      <c r="C1261" s="77" t="s">
        <v>717</v>
      </c>
      <c r="D1261" s="85" t="s">
        <v>718</v>
      </c>
      <c r="E1261" s="86" t="s">
        <v>769</v>
      </c>
      <c r="F1261" s="98" t="s">
        <v>728</v>
      </c>
      <c r="G1261" s="88" t="s">
        <v>721</v>
      </c>
    </row>
    <row r="1262" spans="1:7" s="77" customFormat="1" ht="15" hidden="1" customHeight="1">
      <c r="A1262" s="83">
        <v>45902</v>
      </c>
      <c r="B1262" s="77" t="s">
        <v>627</v>
      </c>
      <c r="C1262" s="77" t="s">
        <v>717</v>
      </c>
      <c r="D1262" s="85" t="s">
        <v>718</v>
      </c>
      <c r="E1262" s="86" t="s">
        <v>770</v>
      </c>
      <c r="F1262" s="98" t="s">
        <v>728</v>
      </c>
      <c r="G1262" s="88" t="s">
        <v>721</v>
      </c>
    </row>
    <row r="1263" spans="1:7" s="77" customFormat="1" ht="15" hidden="1" customHeight="1">
      <c r="A1263" s="83">
        <v>45902</v>
      </c>
      <c r="B1263" s="77" t="s">
        <v>627</v>
      </c>
      <c r="C1263" s="77" t="s">
        <v>717</v>
      </c>
      <c r="D1263" s="85" t="s">
        <v>718</v>
      </c>
      <c r="E1263" s="86" t="s">
        <v>771</v>
      </c>
      <c r="F1263" s="98" t="s">
        <v>728</v>
      </c>
      <c r="G1263" s="88" t="s">
        <v>721</v>
      </c>
    </row>
    <row r="1264" spans="1:7" s="77" customFormat="1" ht="15" hidden="1" customHeight="1">
      <c r="A1264" s="83">
        <v>45902</v>
      </c>
      <c r="B1264" s="77" t="s">
        <v>627</v>
      </c>
      <c r="C1264" s="77" t="s">
        <v>717</v>
      </c>
      <c r="D1264" s="85" t="s">
        <v>718</v>
      </c>
      <c r="E1264" s="86" t="s">
        <v>772</v>
      </c>
      <c r="F1264" s="98" t="s">
        <v>728</v>
      </c>
      <c r="G1264" s="88" t="s">
        <v>721</v>
      </c>
    </row>
    <row r="1265" spans="1:11" s="77" customFormat="1" ht="15" hidden="1" customHeight="1">
      <c r="A1265" s="83">
        <v>45902</v>
      </c>
      <c r="B1265" s="77" t="s">
        <v>627</v>
      </c>
      <c r="C1265" s="77" t="s">
        <v>717</v>
      </c>
      <c r="D1265" s="85" t="s">
        <v>718</v>
      </c>
      <c r="E1265" s="96" t="s">
        <v>803</v>
      </c>
      <c r="F1265" s="98" t="s">
        <v>728</v>
      </c>
      <c r="G1265" s="88" t="s">
        <v>721</v>
      </c>
    </row>
    <row r="1266" spans="1:11" s="77" customFormat="1" ht="15" hidden="1" customHeight="1">
      <c r="A1266" s="83">
        <v>45904</v>
      </c>
      <c r="B1266" s="77" t="s">
        <v>631</v>
      </c>
      <c r="C1266" s="77" t="s">
        <v>717</v>
      </c>
      <c r="D1266" s="86" t="s">
        <v>726</v>
      </c>
      <c r="E1266" s="95" t="s">
        <v>727</v>
      </c>
      <c r="F1266" s="98" t="s">
        <v>728</v>
      </c>
      <c r="G1266" s="88" t="s">
        <v>721</v>
      </c>
    </row>
    <row r="1267" spans="1:11" s="77" customFormat="1" ht="15" hidden="1" customHeight="1">
      <c r="A1267" s="83">
        <v>45904</v>
      </c>
      <c r="B1267" s="77" t="s">
        <v>631</v>
      </c>
      <c r="C1267" s="77" t="s">
        <v>717</v>
      </c>
      <c r="D1267" s="86" t="s">
        <v>726</v>
      </c>
      <c r="E1267" s="96" t="s">
        <v>729</v>
      </c>
      <c r="F1267" s="98" t="s">
        <v>728</v>
      </c>
      <c r="G1267" s="88" t="s">
        <v>721</v>
      </c>
    </row>
    <row r="1268" spans="1:11" ht="15" customHeight="1">
      <c r="A1268" s="90">
        <v>45904</v>
      </c>
      <c r="B1268" s="78" t="s">
        <v>631</v>
      </c>
      <c r="C1268" s="78" t="s">
        <v>717</v>
      </c>
      <c r="D1268" s="91" t="s">
        <v>726</v>
      </c>
      <c r="E1268" s="78" t="s">
        <v>730</v>
      </c>
      <c r="F1268" s="80" t="s">
        <v>870</v>
      </c>
      <c r="G1268" s="94">
        <v>1856146</v>
      </c>
      <c r="H1268" s="78" t="s">
        <v>354</v>
      </c>
      <c r="I1268" s="78" t="s">
        <v>724</v>
      </c>
      <c r="J1268" s="78" t="s">
        <v>856</v>
      </c>
      <c r="K1268" s="78" t="s">
        <v>354</v>
      </c>
    </row>
    <row r="1269" spans="1:11" ht="15" customHeight="1">
      <c r="A1269" s="90">
        <v>45904</v>
      </c>
      <c r="B1269" s="78" t="s">
        <v>631</v>
      </c>
      <c r="C1269" s="78" t="s">
        <v>717</v>
      </c>
      <c r="D1269" s="91" t="s">
        <v>726</v>
      </c>
      <c r="E1269" s="78" t="s">
        <v>731</v>
      </c>
      <c r="F1269" s="80" t="s">
        <v>871</v>
      </c>
      <c r="G1269" s="94">
        <v>1856146</v>
      </c>
      <c r="H1269" s="78" t="s">
        <v>354</v>
      </c>
      <c r="I1269" s="78" t="s">
        <v>724</v>
      </c>
      <c r="J1269" s="78" t="s">
        <v>856</v>
      </c>
      <c r="K1269" s="78" t="s">
        <v>354</v>
      </c>
    </row>
    <row r="1270" spans="1:11" s="77" customFormat="1" ht="15" hidden="1" customHeight="1">
      <c r="A1270" s="83">
        <v>45904</v>
      </c>
      <c r="B1270" s="77" t="s">
        <v>631</v>
      </c>
      <c r="C1270" s="77" t="s">
        <v>717</v>
      </c>
      <c r="D1270" s="86" t="s">
        <v>726</v>
      </c>
      <c r="E1270" s="96" t="s">
        <v>732</v>
      </c>
      <c r="F1270" s="98" t="s">
        <v>728</v>
      </c>
      <c r="G1270" s="88" t="s">
        <v>721</v>
      </c>
    </row>
    <row r="1271" spans="1:11" s="77" customFormat="1" ht="15" hidden="1" customHeight="1">
      <c r="A1271" s="83">
        <v>45904</v>
      </c>
      <c r="B1271" s="77" t="s">
        <v>631</v>
      </c>
      <c r="C1271" s="77" t="s">
        <v>717</v>
      </c>
      <c r="D1271" s="86" t="s">
        <v>726</v>
      </c>
      <c r="E1271" s="96" t="s">
        <v>733</v>
      </c>
      <c r="F1271" s="98" t="s">
        <v>728</v>
      </c>
      <c r="G1271" s="88" t="s">
        <v>721</v>
      </c>
    </row>
    <row r="1272" spans="1:11" s="77" customFormat="1" ht="15" hidden="1" customHeight="1">
      <c r="A1272" s="83">
        <v>45904</v>
      </c>
      <c r="B1272" s="77" t="s">
        <v>631</v>
      </c>
      <c r="C1272" s="77" t="s">
        <v>717</v>
      </c>
      <c r="D1272" s="86" t="s">
        <v>726</v>
      </c>
      <c r="E1272" s="96" t="s">
        <v>734</v>
      </c>
      <c r="F1272" s="98" t="s">
        <v>728</v>
      </c>
      <c r="G1272" s="88" t="s">
        <v>721</v>
      </c>
    </row>
    <row r="1273" spans="1:11" s="77" customFormat="1" ht="15" hidden="1" customHeight="1">
      <c r="A1273" s="83">
        <v>45904</v>
      </c>
      <c r="B1273" s="77" t="s">
        <v>631</v>
      </c>
      <c r="C1273" s="77" t="s">
        <v>717</v>
      </c>
      <c r="D1273" s="86" t="s">
        <v>726</v>
      </c>
      <c r="E1273" s="96" t="s">
        <v>735</v>
      </c>
      <c r="F1273" s="98" t="s">
        <v>728</v>
      </c>
      <c r="G1273" s="88" t="s">
        <v>721</v>
      </c>
    </row>
    <row r="1274" spans="1:11" s="77" customFormat="1" ht="15" hidden="1" customHeight="1">
      <c r="A1274" s="83">
        <v>45904</v>
      </c>
      <c r="B1274" s="77" t="s">
        <v>631</v>
      </c>
      <c r="C1274" s="77" t="s">
        <v>717</v>
      </c>
      <c r="D1274" s="86" t="s">
        <v>736</v>
      </c>
      <c r="E1274" s="96" t="s">
        <v>737</v>
      </c>
      <c r="F1274" s="98" t="s">
        <v>801</v>
      </c>
      <c r="G1274" s="88" t="s">
        <v>721</v>
      </c>
    </row>
    <row r="1275" spans="1:11" s="77" customFormat="1" ht="15" hidden="1" customHeight="1">
      <c r="A1275" s="83">
        <v>45904</v>
      </c>
      <c r="B1275" s="77" t="s">
        <v>631</v>
      </c>
      <c r="C1275" s="77" t="s">
        <v>717</v>
      </c>
      <c r="D1275" s="86" t="s">
        <v>736</v>
      </c>
      <c r="E1275" s="96" t="s">
        <v>738</v>
      </c>
      <c r="F1275" s="98" t="s">
        <v>801</v>
      </c>
      <c r="G1275" s="88" t="s">
        <v>721</v>
      </c>
    </row>
    <row r="1276" spans="1:11" ht="15" customHeight="1">
      <c r="A1276" s="90">
        <v>45904</v>
      </c>
      <c r="B1276" s="78" t="s">
        <v>631</v>
      </c>
      <c r="C1276" s="78" t="s">
        <v>717</v>
      </c>
      <c r="D1276" s="92" t="s">
        <v>739</v>
      </c>
      <c r="E1276" s="78" t="s">
        <v>740</v>
      </c>
      <c r="F1276" s="80" t="s">
        <v>872</v>
      </c>
      <c r="G1276" s="94">
        <v>1856146</v>
      </c>
      <c r="H1276" s="78" t="s">
        <v>354</v>
      </c>
      <c r="I1276" s="78" t="s">
        <v>724</v>
      </c>
      <c r="J1276" s="78" t="s">
        <v>856</v>
      </c>
      <c r="K1276" s="78" t="s">
        <v>354</v>
      </c>
    </row>
    <row r="1277" spans="1:11" s="77" customFormat="1" ht="15" hidden="1" customHeight="1">
      <c r="A1277" s="83">
        <v>45904</v>
      </c>
      <c r="B1277" s="77" t="s">
        <v>631</v>
      </c>
      <c r="C1277" s="77" t="s">
        <v>717</v>
      </c>
      <c r="D1277" s="85" t="s">
        <v>739</v>
      </c>
      <c r="E1277" s="96" t="s">
        <v>741</v>
      </c>
      <c r="F1277" s="98" t="s">
        <v>728</v>
      </c>
      <c r="G1277" s="88" t="s">
        <v>721</v>
      </c>
    </row>
    <row r="1278" spans="1:11" s="77" customFormat="1" ht="15" hidden="1" customHeight="1">
      <c r="A1278" s="83">
        <v>45904</v>
      </c>
      <c r="B1278" s="77" t="s">
        <v>631</v>
      </c>
      <c r="C1278" s="77" t="s">
        <v>717</v>
      </c>
      <c r="D1278" s="85" t="s">
        <v>739</v>
      </c>
      <c r="E1278" s="96" t="s">
        <v>743</v>
      </c>
      <c r="F1278" s="98" t="s">
        <v>728</v>
      </c>
      <c r="G1278" s="88" t="s">
        <v>721</v>
      </c>
    </row>
    <row r="1279" spans="1:11" s="77" customFormat="1" ht="15" hidden="1" customHeight="1">
      <c r="A1279" s="83">
        <v>45904</v>
      </c>
      <c r="B1279" s="77" t="s">
        <v>631</v>
      </c>
      <c r="C1279" s="77" t="s">
        <v>717</v>
      </c>
      <c r="D1279" s="85" t="s">
        <v>744</v>
      </c>
      <c r="E1279" s="96" t="s">
        <v>745</v>
      </c>
      <c r="F1279" s="98" t="s">
        <v>728</v>
      </c>
      <c r="G1279" s="88" t="s">
        <v>721</v>
      </c>
    </row>
    <row r="1280" spans="1:11" s="77" customFormat="1" ht="15" hidden="1" customHeight="1">
      <c r="A1280" s="83">
        <v>45904</v>
      </c>
      <c r="B1280" s="77" t="s">
        <v>631</v>
      </c>
      <c r="C1280" s="77" t="s">
        <v>717</v>
      </c>
      <c r="D1280" s="85" t="s">
        <v>744</v>
      </c>
      <c r="E1280" s="96" t="s">
        <v>746</v>
      </c>
      <c r="F1280" s="98" t="s">
        <v>728</v>
      </c>
      <c r="G1280" s="88" t="s">
        <v>721</v>
      </c>
    </row>
    <row r="1281" spans="1:11" s="77" customFormat="1" ht="15" hidden="1" customHeight="1">
      <c r="A1281" s="83">
        <v>45904</v>
      </c>
      <c r="B1281" s="77" t="s">
        <v>631</v>
      </c>
      <c r="C1281" s="77" t="s">
        <v>717</v>
      </c>
      <c r="D1281" s="85" t="s">
        <v>744</v>
      </c>
      <c r="E1281" s="96" t="s">
        <v>747</v>
      </c>
      <c r="F1281" s="98" t="s">
        <v>801</v>
      </c>
      <c r="G1281" s="88" t="s">
        <v>721</v>
      </c>
    </row>
    <row r="1282" spans="1:11" s="77" customFormat="1" ht="15" hidden="1" customHeight="1">
      <c r="A1282" s="83">
        <v>45904</v>
      </c>
      <c r="B1282" s="77" t="s">
        <v>631</v>
      </c>
      <c r="C1282" s="77" t="s">
        <v>717</v>
      </c>
      <c r="D1282" s="85" t="s">
        <v>744</v>
      </c>
      <c r="E1282" s="96" t="s">
        <v>748</v>
      </c>
      <c r="F1282" s="98" t="s">
        <v>801</v>
      </c>
      <c r="G1282" s="88" t="s">
        <v>721</v>
      </c>
    </row>
    <row r="1283" spans="1:11" s="77" customFormat="1" ht="15" hidden="1" customHeight="1">
      <c r="A1283" s="83">
        <v>45904</v>
      </c>
      <c r="B1283" s="77" t="s">
        <v>631</v>
      </c>
      <c r="C1283" s="77" t="s">
        <v>717</v>
      </c>
      <c r="D1283" s="85" t="s">
        <v>744</v>
      </c>
      <c r="E1283" s="96" t="s">
        <v>749</v>
      </c>
      <c r="F1283" s="98" t="s">
        <v>801</v>
      </c>
      <c r="G1283" s="88" t="s">
        <v>721</v>
      </c>
    </row>
    <row r="1284" spans="1:11" s="77" customFormat="1" ht="15" hidden="1" customHeight="1">
      <c r="A1284" s="83">
        <v>45904</v>
      </c>
      <c r="B1284" s="77" t="s">
        <v>631</v>
      </c>
      <c r="C1284" s="77" t="s">
        <v>717</v>
      </c>
      <c r="D1284" s="85" t="s">
        <v>750</v>
      </c>
      <c r="E1284" s="96" t="s">
        <v>751</v>
      </c>
      <c r="F1284" s="98" t="s">
        <v>728</v>
      </c>
      <c r="G1284" s="88" t="s">
        <v>721</v>
      </c>
    </row>
    <row r="1285" spans="1:11" s="77" customFormat="1" ht="15" hidden="1" customHeight="1">
      <c r="A1285" s="83">
        <v>45904</v>
      </c>
      <c r="B1285" s="77" t="s">
        <v>631</v>
      </c>
      <c r="C1285" s="77" t="s">
        <v>717</v>
      </c>
      <c r="D1285" s="85" t="s">
        <v>750</v>
      </c>
      <c r="E1285" s="96" t="s">
        <v>752</v>
      </c>
      <c r="F1285" s="98" t="s">
        <v>728</v>
      </c>
      <c r="G1285" s="88" t="s">
        <v>721</v>
      </c>
    </row>
    <row r="1286" spans="1:11" s="77" customFormat="1" ht="15" hidden="1" customHeight="1">
      <c r="A1286" s="83">
        <v>45904</v>
      </c>
      <c r="B1286" s="77" t="s">
        <v>631</v>
      </c>
      <c r="C1286" s="77" t="s">
        <v>717</v>
      </c>
      <c r="D1286" s="85" t="s">
        <v>750</v>
      </c>
      <c r="E1286" s="96" t="s">
        <v>753</v>
      </c>
      <c r="F1286" s="98" t="s">
        <v>728</v>
      </c>
      <c r="G1286" s="88" t="s">
        <v>721</v>
      </c>
    </row>
    <row r="1287" spans="1:11" s="77" customFormat="1" ht="15" hidden="1" customHeight="1">
      <c r="A1287" s="83">
        <v>45904</v>
      </c>
      <c r="B1287" s="77" t="s">
        <v>631</v>
      </c>
      <c r="C1287" s="77" t="s">
        <v>717</v>
      </c>
      <c r="D1287" s="85" t="s">
        <v>750</v>
      </c>
      <c r="E1287" s="96" t="s">
        <v>754</v>
      </c>
      <c r="F1287" s="98" t="s">
        <v>728</v>
      </c>
      <c r="G1287" s="88" t="s">
        <v>721</v>
      </c>
    </row>
    <row r="1288" spans="1:11" s="77" customFormat="1" ht="15" hidden="1" customHeight="1">
      <c r="A1288" s="83">
        <v>45904</v>
      </c>
      <c r="B1288" s="77" t="s">
        <v>631</v>
      </c>
      <c r="C1288" s="77" t="s">
        <v>717</v>
      </c>
      <c r="D1288" s="85" t="s">
        <v>755</v>
      </c>
      <c r="E1288" s="86" t="s">
        <v>756</v>
      </c>
      <c r="F1288" s="98" t="s">
        <v>802</v>
      </c>
      <c r="G1288" s="88" t="s">
        <v>721</v>
      </c>
    </row>
    <row r="1289" spans="1:11" s="77" customFormat="1" ht="15" hidden="1" customHeight="1">
      <c r="A1289" s="83">
        <v>45904</v>
      </c>
      <c r="B1289" s="77" t="s">
        <v>631</v>
      </c>
      <c r="C1289" s="77" t="s">
        <v>717</v>
      </c>
      <c r="D1289" s="85" t="s">
        <v>755</v>
      </c>
      <c r="E1289" s="96" t="s">
        <v>757</v>
      </c>
      <c r="F1289" s="98" t="s">
        <v>802</v>
      </c>
      <c r="G1289" s="88" t="s">
        <v>721</v>
      </c>
    </row>
    <row r="1290" spans="1:11" s="77" customFormat="1" ht="15" hidden="1" customHeight="1">
      <c r="A1290" s="83">
        <v>45904</v>
      </c>
      <c r="B1290" s="77" t="s">
        <v>631</v>
      </c>
      <c r="C1290" s="77" t="s">
        <v>717</v>
      </c>
      <c r="D1290" s="85" t="s">
        <v>758</v>
      </c>
      <c r="E1290" s="96" t="s">
        <v>759</v>
      </c>
      <c r="F1290" s="98" t="s">
        <v>728</v>
      </c>
      <c r="G1290" s="88" t="s">
        <v>721</v>
      </c>
    </row>
    <row r="1291" spans="1:11" s="77" customFormat="1" ht="15" hidden="1" customHeight="1">
      <c r="A1291" s="83">
        <v>45904</v>
      </c>
      <c r="B1291" s="77" t="s">
        <v>631</v>
      </c>
      <c r="C1291" s="77" t="s">
        <v>717</v>
      </c>
      <c r="D1291" s="85" t="s">
        <v>758</v>
      </c>
      <c r="E1291" s="96" t="s">
        <v>760</v>
      </c>
      <c r="F1291" s="98" t="s">
        <v>728</v>
      </c>
      <c r="G1291" s="88" t="s">
        <v>721</v>
      </c>
    </row>
    <row r="1292" spans="1:11" ht="15" customHeight="1">
      <c r="A1292" s="90">
        <v>45904</v>
      </c>
      <c r="B1292" s="78" t="s">
        <v>631</v>
      </c>
      <c r="C1292" s="78" t="s">
        <v>717</v>
      </c>
      <c r="D1292" s="92" t="s">
        <v>758</v>
      </c>
      <c r="E1292" s="78" t="s">
        <v>761</v>
      </c>
      <c r="F1292" s="80" t="s">
        <v>873</v>
      </c>
      <c r="G1292" s="94">
        <v>1856146</v>
      </c>
      <c r="H1292" s="78" t="s">
        <v>354</v>
      </c>
      <c r="I1292" s="78" t="s">
        <v>724</v>
      </c>
      <c r="J1292" s="78" t="s">
        <v>856</v>
      </c>
      <c r="K1292" s="78" t="s">
        <v>354</v>
      </c>
    </row>
    <row r="1293" spans="1:11" ht="15" customHeight="1">
      <c r="A1293" s="90">
        <v>45904</v>
      </c>
      <c r="B1293" s="78" t="s">
        <v>631</v>
      </c>
      <c r="C1293" s="78" t="s">
        <v>717</v>
      </c>
      <c r="D1293" s="92" t="s">
        <v>758</v>
      </c>
      <c r="E1293" s="78" t="s">
        <v>762</v>
      </c>
      <c r="F1293" s="80" t="s">
        <v>874</v>
      </c>
      <c r="G1293" s="94">
        <v>1856146</v>
      </c>
      <c r="H1293" s="78" t="s">
        <v>354</v>
      </c>
      <c r="I1293" s="78" t="s">
        <v>724</v>
      </c>
      <c r="J1293" s="78" t="s">
        <v>856</v>
      </c>
      <c r="K1293" s="78" t="s">
        <v>354</v>
      </c>
    </row>
    <row r="1294" spans="1:11" ht="15" customHeight="1">
      <c r="A1294" s="90">
        <v>45904</v>
      </c>
      <c r="B1294" s="78" t="s">
        <v>631</v>
      </c>
      <c r="C1294" s="78" t="s">
        <v>717</v>
      </c>
      <c r="D1294" s="92" t="s">
        <v>758</v>
      </c>
      <c r="E1294" s="78" t="s">
        <v>763</v>
      </c>
      <c r="F1294" s="80" t="s">
        <v>875</v>
      </c>
      <c r="G1294" s="94">
        <v>1856146</v>
      </c>
      <c r="H1294" s="78" t="s">
        <v>354</v>
      </c>
      <c r="I1294" s="78" t="s">
        <v>724</v>
      </c>
      <c r="J1294" s="78" t="s">
        <v>856</v>
      </c>
      <c r="K1294" s="78" t="s">
        <v>354</v>
      </c>
    </row>
    <row r="1295" spans="1:11" s="77" customFormat="1" ht="15" hidden="1" customHeight="1">
      <c r="A1295" s="83">
        <v>45904</v>
      </c>
      <c r="B1295" s="77" t="s">
        <v>631</v>
      </c>
      <c r="C1295" s="77" t="s">
        <v>717</v>
      </c>
      <c r="D1295" s="85" t="s">
        <v>758</v>
      </c>
      <c r="E1295" s="96" t="s">
        <v>764</v>
      </c>
      <c r="F1295" s="98" t="s">
        <v>728</v>
      </c>
      <c r="G1295" s="88" t="s">
        <v>721</v>
      </c>
    </row>
    <row r="1296" spans="1:11" s="77" customFormat="1" ht="15" hidden="1" customHeight="1">
      <c r="A1296" s="83">
        <v>45904</v>
      </c>
      <c r="B1296" s="77" t="s">
        <v>631</v>
      </c>
      <c r="C1296" s="77" t="s">
        <v>717</v>
      </c>
      <c r="D1296" s="85" t="s">
        <v>718</v>
      </c>
      <c r="E1296" s="96" t="s">
        <v>719</v>
      </c>
      <c r="F1296" s="104">
        <v>45931</v>
      </c>
      <c r="G1296" s="88" t="s">
        <v>721</v>
      </c>
    </row>
    <row r="1297" spans="1:11" ht="15" customHeight="1">
      <c r="A1297" s="90">
        <v>45904</v>
      </c>
      <c r="B1297" s="78" t="s">
        <v>631</v>
      </c>
      <c r="C1297" s="78" t="s">
        <v>717</v>
      </c>
      <c r="D1297" s="92" t="s">
        <v>718</v>
      </c>
      <c r="E1297" s="91" t="s">
        <v>765</v>
      </c>
      <c r="F1297" s="80" t="s">
        <v>876</v>
      </c>
      <c r="G1297" s="94">
        <v>1856146</v>
      </c>
      <c r="H1297" s="78" t="s">
        <v>354</v>
      </c>
      <c r="I1297" s="78" t="s">
        <v>724</v>
      </c>
      <c r="J1297" s="78" t="s">
        <v>856</v>
      </c>
      <c r="K1297" s="78" t="s">
        <v>354</v>
      </c>
    </row>
    <row r="1298" spans="1:11" s="77" customFormat="1" ht="15" hidden="1" customHeight="1">
      <c r="A1298" s="83">
        <v>45904</v>
      </c>
      <c r="B1298" s="77" t="s">
        <v>631</v>
      </c>
      <c r="C1298" s="77" t="s">
        <v>717</v>
      </c>
      <c r="D1298" s="85" t="s">
        <v>718</v>
      </c>
      <c r="E1298" s="86" t="s">
        <v>766</v>
      </c>
      <c r="F1298" s="98" t="s">
        <v>728</v>
      </c>
      <c r="G1298" s="88" t="s">
        <v>721</v>
      </c>
    </row>
    <row r="1299" spans="1:11" s="77" customFormat="1" ht="15" hidden="1" customHeight="1">
      <c r="A1299" s="83">
        <v>45904</v>
      </c>
      <c r="B1299" s="77" t="s">
        <v>631</v>
      </c>
      <c r="C1299" s="77" t="s">
        <v>717</v>
      </c>
      <c r="D1299" s="85" t="s">
        <v>718</v>
      </c>
      <c r="E1299" s="86" t="s">
        <v>767</v>
      </c>
      <c r="F1299" s="98" t="s">
        <v>728</v>
      </c>
      <c r="G1299" s="88" t="s">
        <v>721</v>
      </c>
    </row>
    <row r="1300" spans="1:11" s="77" customFormat="1" ht="15" hidden="1" customHeight="1">
      <c r="A1300" s="83">
        <v>45904</v>
      </c>
      <c r="B1300" s="77" t="s">
        <v>631</v>
      </c>
      <c r="C1300" s="77" t="s">
        <v>717</v>
      </c>
      <c r="D1300" s="85" t="s">
        <v>718</v>
      </c>
      <c r="E1300" s="86" t="s">
        <v>768</v>
      </c>
      <c r="F1300" s="98" t="s">
        <v>728</v>
      </c>
      <c r="G1300" s="88" t="s">
        <v>721</v>
      </c>
    </row>
    <row r="1301" spans="1:11" s="77" customFormat="1" ht="15" hidden="1" customHeight="1">
      <c r="A1301" s="83">
        <v>45904</v>
      </c>
      <c r="B1301" s="77" t="s">
        <v>631</v>
      </c>
      <c r="C1301" s="77" t="s">
        <v>717</v>
      </c>
      <c r="D1301" s="85" t="s">
        <v>718</v>
      </c>
      <c r="E1301" s="86" t="s">
        <v>769</v>
      </c>
      <c r="F1301" s="98" t="s">
        <v>728</v>
      </c>
      <c r="G1301" s="88" t="s">
        <v>721</v>
      </c>
    </row>
    <row r="1302" spans="1:11" s="77" customFormat="1" ht="15" hidden="1" customHeight="1">
      <c r="A1302" s="83">
        <v>45904</v>
      </c>
      <c r="B1302" s="77" t="s">
        <v>631</v>
      </c>
      <c r="C1302" s="77" t="s">
        <v>717</v>
      </c>
      <c r="D1302" s="85" t="s">
        <v>718</v>
      </c>
      <c r="E1302" s="86" t="s">
        <v>770</v>
      </c>
      <c r="F1302" s="98" t="s">
        <v>728</v>
      </c>
      <c r="G1302" s="88" t="s">
        <v>721</v>
      </c>
    </row>
    <row r="1303" spans="1:11" ht="15" customHeight="1">
      <c r="A1303" s="90">
        <v>45904</v>
      </c>
      <c r="B1303" s="78" t="s">
        <v>631</v>
      </c>
      <c r="C1303" s="78" t="s">
        <v>717</v>
      </c>
      <c r="D1303" s="92" t="s">
        <v>718</v>
      </c>
      <c r="E1303" s="91" t="s">
        <v>771</v>
      </c>
      <c r="F1303" s="80" t="s">
        <v>877</v>
      </c>
      <c r="G1303" s="94">
        <v>1856146</v>
      </c>
      <c r="H1303" s="78" t="s">
        <v>354</v>
      </c>
      <c r="I1303" s="78" t="s">
        <v>724</v>
      </c>
      <c r="J1303" s="78" t="s">
        <v>856</v>
      </c>
      <c r="K1303" s="78" t="s">
        <v>354</v>
      </c>
    </row>
    <row r="1304" spans="1:11" s="77" customFormat="1" ht="15" hidden="1" customHeight="1">
      <c r="A1304" s="83">
        <v>45904</v>
      </c>
      <c r="B1304" s="77" t="s">
        <v>631</v>
      </c>
      <c r="C1304" s="77" t="s">
        <v>717</v>
      </c>
      <c r="D1304" s="85" t="s">
        <v>718</v>
      </c>
      <c r="E1304" s="86" t="s">
        <v>772</v>
      </c>
      <c r="F1304" s="98" t="s">
        <v>728</v>
      </c>
      <c r="G1304" s="88" t="s">
        <v>721</v>
      </c>
    </row>
    <row r="1305" spans="1:11" s="77" customFormat="1" ht="15" hidden="1" customHeight="1">
      <c r="A1305" s="83">
        <v>45904</v>
      </c>
      <c r="B1305" s="77" t="s">
        <v>631</v>
      </c>
      <c r="C1305" s="77" t="s">
        <v>717</v>
      </c>
      <c r="D1305" s="85" t="s">
        <v>718</v>
      </c>
      <c r="E1305" s="96" t="s">
        <v>803</v>
      </c>
      <c r="F1305" s="98" t="s">
        <v>728</v>
      </c>
      <c r="G1305" s="88" t="s">
        <v>721</v>
      </c>
    </row>
    <row r="1306" spans="1:11" ht="15" customHeight="1">
      <c r="A1306" s="90">
        <v>45904</v>
      </c>
      <c r="B1306" s="78" t="s">
        <v>664</v>
      </c>
      <c r="C1306" s="78" t="s">
        <v>717</v>
      </c>
      <c r="D1306" s="91" t="s">
        <v>726</v>
      </c>
      <c r="E1306" s="100" t="s">
        <v>727</v>
      </c>
      <c r="F1306" s="80" t="s">
        <v>878</v>
      </c>
      <c r="G1306" s="94">
        <v>1856148</v>
      </c>
      <c r="H1306" s="78" t="s">
        <v>354</v>
      </c>
      <c r="I1306" s="78" t="s">
        <v>724</v>
      </c>
      <c r="J1306" s="78" t="s">
        <v>879</v>
      </c>
      <c r="K1306" s="78" t="s">
        <v>354</v>
      </c>
    </row>
    <row r="1307" spans="1:11" s="77" customFormat="1" ht="15" hidden="1" customHeight="1">
      <c r="A1307" s="83">
        <v>45904</v>
      </c>
      <c r="B1307" s="77" t="s">
        <v>664</v>
      </c>
      <c r="C1307" s="77" t="s">
        <v>717</v>
      </c>
      <c r="D1307" s="86" t="s">
        <v>726</v>
      </c>
      <c r="E1307" s="96" t="s">
        <v>729</v>
      </c>
      <c r="F1307" s="98" t="s">
        <v>728</v>
      </c>
      <c r="G1307" s="88" t="s">
        <v>721</v>
      </c>
    </row>
    <row r="1308" spans="1:11" ht="15" customHeight="1">
      <c r="A1308" s="90">
        <v>45904</v>
      </c>
      <c r="B1308" s="78" t="s">
        <v>664</v>
      </c>
      <c r="C1308" s="78" t="s">
        <v>717</v>
      </c>
      <c r="D1308" s="91" t="s">
        <v>726</v>
      </c>
      <c r="E1308" s="78" t="s">
        <v>730</v>
      </c>
      <c r="F1308" s="80" t="s">
        <v>870</v>
      </c>
      <c r="G1308" s="94">
        <v>1856148</v>
      </c>
      <c r="H1308" s="78" t="s">
        <v>354</v>
      </c>
      <c r="I1308" s="78" t="s">
        <v>724</v>
      </c>
      <c r="J1308" s="78" t="s">
        <v>879</v>
      </c>
      <c r="K1308" s="78" t="s">
        <v>354</v>
      </c>
    </row>
    <row r="1309" spans="1:11" s="77" customFormat="1" ht="15" hidden="1" customHeight="1">
      <c r="A1309" s="83">
        <v>45904</v>
      </c>
      <c r="B1309" s="77" t="s">
        <v>664</v>
      </c>
      <c r="C1309" s="77" t="s">
        <v>717</v>
      </c>
      <c r="D1309" s="86" t="s">
        <v>726</v>
      </c>
      <c r="E1309" s="96" t="s">
        <v>731</v>
      </c>
      <c r="F1309" s="98" t="s">
        <v>728</v>
      </c>
      <c r="G1309" s="88" t="s">
        <v>721</v>
      </c>
    </row>
    <row r="1310" spans="1:11" s="77" customFormat="1" ht="15" hidden="1" customHeight="1">
      <c r="A1310" s="83">
        <v>45904</v>
      </c>
      <c r="B1310" s="77" t="s">
        <v>664</v>
      </c>
      <c r="C1310" s="77" t="s">
        <v>717</v>
      </c>
      <c r="D1310" s="86" t="s">
        <v>726</v>
      </c>
      <c r="E1310" s="96" t="s">
        <v>732</v>
      </c>
      <c r="F1310" s="98" t="s">
        <v>728</v>
      </c>
      <c r="G1310" s="88" t="s">
        <v>721</v>
      </c>
    </row>
    <row r="1311" spans="1:11" s="77" customFormat="1" ht="15" hidden="1" customHeight="1">
      <c r="A1311" s="83">
        <v>45904</v>
      </c>
      <c r="B1311" s="77" t="s">
        <v>664</v>
      </c>
      <c r="C1311" s="77" t="s">
        <v>717</v>
      </c>
      <c r="D1311" s="86" t="s">
        <v>726</v>
      </c>
      <c r="E1311" s="96" t="s">
        <v>733</v>
      </c>
      <c r="F1311" s="98" t="s">
        <v>728</v>
      </c>
      <c r="G1311" s="88" t="s">
        <v>721</v>
      </c>
    </row>
    <row r="1312" spans="1:11" s="77" customFormat="1" ht="15" hidden="1" customHeight="1">
      <c r="A1312" s="83">
        <v>45904</v>
      </c>
      <c r="B1312" s="77" t="s">
        <v>664</v>
      </c>
      <c r="C1312" s="77" t="s">
        <v>717</v>
      </c>
      <c r="D1312" s="86" t="s">
        <v>726</v>
      </c>
      <c r="E1312" s="96" t="s">
        <v>734</v>
      </c>
      <c r="F1312" s="98" t="s">
        <v>728</v>
      </c>
      <c r="G1312" s="88" t="s">
        <v>721</v>
      </c>
    </row>
    <row r="1313" spans="1:11" s="77" customFormat="1" ht="15" hidden="1" customHeight="1">
      <c r="A1313" s="83">
        <v>45904</v>
      </c>
      <c r="B1313" s="77" t="s">
        <v>664</v>
      </c>
      <c r="C1313" s="77" t="s">
        <v>717</v>
      </c>
      <c r="D1313" s="86" t="s">
        <v>726</v>
      </c>
      <c r="E1313" s="96" t="s">
        <v>735</v>
      </c>
      <c r="F1313" s="98" t="s">
        <v>728</v>
      </c>
      <c r="G1313" s="88" t="s">
        <v>721</v>
      </c>
    </row>
    <row r="1314" spans="1:11" s="77" customFormat="1" ht="15" hidden="1" customHeight="1">
      <c r="A1314" s="83">
        <v>45904</v>
      </c>
      <c r="B1314" s="77" t="s">
        <v>664</v>
      </c>
      <c r="C1314" s="77" t="s">
        <v>717</v>
      </c>
      <c r="D1314" s="86" t="s">
        <v>736</v>
      </c>
      <c r="E1314" s="96" t="s">
        <v>737</v>
      </c>
      <c r="F1314" s="98" t="s">
        <v>801</v>
      </c>
      <c r="G1314" s="88" t="s">
        <v>721</v>
      </c>
    </row>
    <row r="1315" spans="1:11" s="77" customFormat="1" ht="15" hidden="1" customHeight="1">
      <c r="A1315" s="83">
        <v>45904</v>
      </c>
      <c r="B1315" s="77" t="s">
        <v>664</v>
      </c>
      <c r="C1315" s="77" t="s">
        <v>717</v>
      </c>
      <c r="D1315" s="86" t="s">
        <v>736</v>
      </c>
      <c r="E1315" s="96" t="s">
        <v>738</v>
      </c>
      <c r="F1315" s="98" t="s">
        <v>801</v>
      </c>
      <c r="G1315" s="88" t="s">
        <v>721</v>
      </c>
    </row>
    <row r="1316" spans="1:11" ht="15" customHeight="1">
      <c r="A1316" s="90">
        <v>45904</v>
      </c>
      <c r="B1316" s="78" t="s">
        <v>664</v>
      </c>
      <c r="C1316" s="78" t="s">
        <v>717</v>
      </c>
      <c r="D1316" s="92" t="s">
        <v>739</v>
      </c>
      <c r="E1316" s="78" t="s">
        <v>740</v>
      </c>
      <c r="F1316" s="80" t="s">
        <v>880</v>
      </c>
      <c r="G1316" s="94">
        <v>1856148</v>
      </c>
      <c r="H1316" s="78" t="s">
        <v>354</v>
      </c>
      <c r="I1316" s="78" t="s">
        <v>724</v>
      </c>
      <c r="J1316" s="78" t="s">
        <v>879</v>
      </c>
      <c r="K1316" s="78" t="s">
        <v>354</v>
      </c>
    </row>
    <row r="1317" spans="1:11" s="77" customFormat="1" ht="15" hidden="1" customHeight="1">
      <c r="A1317" s="83">
        <v>45904</v>
      </c>
      <c r="B1317" s="77" t="s">
        <v>664</v>
      </c>
      <c r="C1317" s="77" t="s">
        <v>717</v>
      </c>
      <c r="D1317" s="85" t="s">
        <v>739</v>
      </c>
      <c r="E1317" s="96" t="s">
        <v>741</v>
      </c>
      <c r="F1317" s="98" t="s">
        <v>728</v>
      </c>
      <c r="G1317" s="88" t="s">
        <v>721</v>
      </c>
    </row>
    <row r="1318" spans="1:11" s="77" customFormat="1" ht="15" hidden="1" customHeight="1">
      <c r="A1318" s="83">
        <v>45904</v>
      </c>
      <c r="B1318" s="77" t="s">
        <v>664</v>
      </c>
      <c r="C1318" s="77" t="s">
        <v>717</v>
      </c>
      <c r="D1318" s="85" t="s">
        <v>739</v>
      </c>
      <c r="E1318" s="96" t="s">
        <v>743</v>
      </c>
      <c r="F1318" s="98" t="s">
        <v>728</v>
      </c>
      <c r="G1318" s="88" t="s">
        <v>721</v>
      </c>
    </row>
    <row r="1319" spans="1:11" s="77" customFormat="1" ht="15" hidden="1" customHeight="1">
      <c r="A1319" s="83">
        <v>45904</v>
      </c>
      <c r="B1319" s="77" t="s">
        <v>664</v>
      </c>
      <c r="C1319" s="77" t="s">
        <v>717</v>
      </c>
      <c r="D1319" s="85" t="s">
        <v>744</v>
      </c>
      <c r="E1319" s="96" t="s">
        <v>745</v>
      </c>
      <c r="F1319" s="98" t="s">
        <v>728</v>
      </c>
      <c r="G1319" s="88" t="s">
        <v>721</v>
      </c>
    </row>
    <row r="1320" spans="1:11" s="77" customFormat="1" ht="15" hidden="1" customHeight="1">
      <c r="A1320" s="83">
        <v>45904</v>
      </c>
      <c r="B1320" s="77" t="s">
        <v>664</v>
      </c>
      <c r="C1320" s="77" t="s">
        <v>717</v>
      </c>
      <c r="D1320" s="85" t="s">
        <v>744</v>
      </c>
      <c r="E1320" s="96" t="s">
        <v>746</v>
      </c>
      <c r="F1320" s="98" t="s">
        <v>728</v>
      </c>
      <c r="G1320" s="88" t="s">
        <v>721</v>
      </c>
    </row>
    <row r="1321" spans="1:11" s="77" customFormat="1" ht="15" hidden="1" customHeight="1">
      <c r="A1321" s="83">
        <v>45904</v>
      </c>
      <c r="B1321" s="77" t="s">
        <v>664</v>
      </c>
      <c r="C1321" s="77" t="s">
        <v>717</v>
      </c>
      <c r="D1321" s="85" t="s">
        <v>744</v>
      </c>
      <c r="E1321" s="96" t="s">
        <v>747</v>
      </c>
      <c r="F1321" s="98" t="s">
        <v>801</v>
      </c>
      <c r="G1321" s="88" t="s">
        <v>721</v>
      </c>
    </row>
    <row r="1322" spans="1:11" s="77" customFormat="1" ht="15" hidden="1" customHeight="1">
      <c r="A1322" s="83">
        <v>45904</v>
      </c>
      <c r="B1322" s="77" t="s">
        <v>664</v>
      </c>
      <c r="C1322" s="77" t="s">
        <v>717</v>
      </c>
      <c r="D1322" s="85" t="s">
        <v>744</v>
      </c>
      <c r="E1322" s="96" t="s">
        <v>748</v>
      </c>
      <c r="F1322" s="98" t="s">
        <v>801</v>
      </c>
      <c r="G1322" s="88" t="s">
        <v>721</v>
      </c>
    </row>
    <row r="1323" spans="1:11" s="77" customFormat="1" ht="15" hidden="1" customHeight="1">
      <c r="A1323" s="83">
        <v>45904</v>
      </c>
      <c r="B1323" s="77" t="s">
        <v>664</v>
      </c>
      <c r="C1323" s="77" t="s">
        <v>717</v>
      </c>
      <c r="D1323" s="85" t="s">
        <v>744</v>
      </c>
      <c r="E1323" s="96" t="s">
        <v>749</v>
      </c>
      <c r="F1323" s="98" t="s">
        <v>801</v>
      </c>
      <c r="G1323" s="88" t="s">
        <v>721</v>
      </c>
    </row>
    <row r="1324" spans="1:11" ht="15" customHeight="1">
      <c r="A1324" s="90">
        <v>45904</v>
      </c>
      <c r="B1324" s="78" t="s">
        <v>664</v>
      </c>
      <c r="C1324" s="78" t="s">
        <v>717</v>
      </c>
      <c r="D1324" s="92" t="s">
        <v>750</v>
      </c>
      <c r="E1324" s="78" t="s">
        <v>751</v>
      </c>
      <c r="F1324" s="80" t="s">
        <v>881</v>
      </c>
      <c r="G1324" s="94">
        <v>1856148</v>
      </c>
      <c r="H1324" s="78" t="s">
        <v>354</v>
      </c>
      <c r="I1324" s="78" t="s">
        <v>724</v>
      </c>
      <c r="J1324" s="78" t="s">
        <v>879</v>
      </c>
      <c r="K1324" s="78" t="s">
        <v>354</v>
      </c>
    </row>
    <row r="1325" spans="1:11" s="77" customFormat="1" ht="15" hidden="1" customHeight="1">
      <c r="A1325" s="83">
        <v>45904</v>
      </c>
      <c r="B1325" s="77" t="s">
        <v>664</v>
      </c>
      <c r="C1325" s="77" t="s">
        <v>717</v>
      </c>
      <c r="D1325" s="85" t="s">
        <v>750</v>
      </c>
      <c r="E1325" s="96" t="s">
        <v>752</v>
      </c>
      <c r="F1325" s="98" t="s">
        <v>728</v>
      </c>
      <c r="G1325" s="88" t="s">
        <v>721</v>
      </c>
    </row>
    <row r="1326" spans="1:11" s="77" customFormat="1" ht="15" hidden="1" customHeight="1">
      <c r="A1326" s="83">
        <v>45904</v>
      </c>
      <c r="B1326" s="77" t="s">
        <v>664</v>
      </c>
      <c r="C1326" s="77" t="s">
        <v>717</v>
      </c>
      <c r="D1326" s="85" t="s">
        <v>750</v>
      </c>
      <c r="E1326" s="96" t="s">
        <v>753</v>
      </c>
      <c r="F1326" s="98" t="s">
        <v>728</v>
      </c>
      <c r="G1326" s="88" t="s">
        <v>721</v>
      </c>
    </row>
    <row r="1327" spans="1:11" s="77" customFormat="1" ht="15" hidden="1" customHeight="1">
      <c r="A1327" s="83">
        <v>45904</v>
      </c>
      <c r="B1327" s="77" t="s">
        <v>664</v>
      </c>
      <c r="C1327" s="77" t="s">
        <v>717</v>
      </c>
      <c r="D1327" s="85" t="s">
        <v>750</v>
      </c>
      <c r="E1327" s="96" t="s">
        <v>754</v>
      </c>
      <c r="F1327" s="98" t="s">
        <v>728</v>
      </c>
      <c r="G1327" s="88" t="s">
        <v>721</v>
      </c>
    </row>
    <row r="1328" spans="1:11" s="77" customFormat="1" ht="15" hidden="1" customHeight="1">
      <c r="A1328" s="83">
        <v>45904</v>
      </c>
      <c r="B1328" s="77" t="s">
        <v>664</v>
      </c>
      <c r="C1328" s="77" t="s">
        <v>717</v>
      </c>
      <c r="D1328" s="85" t="s">
        <v>755</v>
      </c>
      <c r="E1328" s="86" t="s">
        <v>756</v>
      </c>
      <c r="F1328" s="98" t="s">
        <v>802</v>
      </c>
      <c r="G1328" s="88" t="s">
        <v>721</v>
      </c>
    </row>
    <row r="1329" spans="1:7" s="77" customFormat="1" ht="15" hidden="1" customHeight="1">
      <c r="A1329" s="83">
        <v>45904</v>
      </c>
      <c r="B1329" s="77" t="s">
        <v>664</v>
      </c>
      <c r="C1329" s="77" t="s">
        <v>717</v>
      </c>
      <c r="D1329" s="85" t="s">
        <v>755</v>
      </c>
      <c r="E1329" s="96" t="s">
        <v>757</v>
      </c>
      <c r="F1329" s="98" t="s">
        <v>802</v>
      </c>
      <c r="G1329" s="88" t="s">
        <v>721</v>
      </c>
    </row>
    <row r="1330" spans="1:7" s="77" customFormat="1" ht="15" hidden="1" customHeight="1">
      <c r="A1330" s="83">
        <v>45904</v>
      </c>
      <c r="B1330" s="77" t="s">
        <v>664</v>
      </c>
      <c r="C1330" s="77" t="s">
        <v>717</v>
      </c>
      <c r="D1330" s="85" t="s">
        <v>758</v>
      </c>
      <c r="E1330" s="96" t="s">
        <v>759</v>
      </c>
      <c r="F1330" s="98" t="s">
        <v>728</v>
      </c>
      <c r="G1330" s="88" t="s">
        <v>721</v>
      </c>
    </row>
    <row r="1331" spans="1:7" s="77" customFormat="1" ht="15" hidden="1" customHeight="1">
      <c r="A1331" s="83">
        <v>45904</v>
      </c>
      <c r="B1331" s="77" t="s">
        <v>664</v>
      </c>
      <c r="C1331" s="77" t="s">
        <v>717</v>
      </c>
      <c r="D1331" s="85" t="s">
        <v>758</v>
      </c>
      <c r="E1331" s="96" t="s">
        <v>760</v>
      </c>
      <c r="F1331" s="98" t="s">
        <v>728</v>
      </c>
      <c r="G1331" s="88" t="s">
        <v>721</v>
      </c>
    </row>
    <row r="1332" spans="1:7" s="77" customFormat="1" ht="15" hidden="1" customHeight="1">
      <c r="A1332" s="83">
        <v>45904</v>
      </c>
      <c r="B1332" s="77" t="s">
        <v>664</v>
      </c>
      <c r="C1332" s="77" t="s">
        <v>717</v>
      </c>
      <c r="D1332" s="85" t="s">
        <v>758</v>
      </c>
      <c r="E1332" s="96" t="s">
        <v>761</v>
      </c>
      <c r="F1332" s="98" t="s">
        <v>728</v>
      </c>
      <c r="G1332" s="88" t="s">
        <v>721</v>
      </c>
    </row>
    <row r="1333" spans="1:7" s="77" customFormat="1" ht="15" hidden="1" customHeight="1">
      <c r="A1333" s="83">
        <v>45904</v>
      </c>
      <c r="B1333" s="77" t="s">
        <v>664</v>
      </c>
      <c r="C1333" s="77" t="s">
        <v>717</v>
      </c>
      <c r="D1333" s="85" t="s">
        <v>758</v>
      </c>
      <c r="E1333" s="96" t="s">
        <v>762</v>
      </c>
      <c r="F1333" s="98" t="s">
        <v>728</v>
      </c>
      <c r="G1333" s="88" t="s">
        <v>721</v>
      </c>
    </row>
    <row r="1334" spans="1:7" s="77" customFormat="1" ht="15" hidden="1" customHeight="1">
      <c r="A1334" s="83">
        <v>45904</v>
      </c>
      <c r="B1334" s="77" t="s">
        <v>664</v>
      </c>
      <c r="C1334" s="77" t="s">
        <v>717</v>
      </c>
      <c r="D1334" s="85" t="s">
        <v>758</v>
      </c>
      <c r="E1334" s="96" t="s">
        <v>763</v>
      </c>
      <c r="F1334" s="98" t="s">
        <v>728</v>
      </c>
      <c r="G1334" s="88" t="s">
        <v>721</v>
      </c>
    </row>
    <row r="1335" spans="1:7" s="77" customFormat="1" ht="15" hidden="1" customHeight="1">
      <c r="A1335" s="83">
        <v>45904</v>
      </c>
      <c r="B1335" s="77" t="s">
        <v>664</v>
      </c>
      <c r="C1335" s="77" t="s">
        <v>717</v>
      </c>
      <c r="D1335" s="85" t="s">
        <v>758</v>
      </c>
      <c r="E1335" s="96" t="s">
        <v>764</v>
      </c>
      <c r="F1335" s="98" t="s">
        <v>728</v>
      </c>
      <c r="G1335" s="88" t="s">
        <v>721</v>
      </c>
    </row>
    <row r="1336" spans="1:7" s="77" customFormat="1" ht="15" hidden="1" customHeight="1">
      <c r="A1336" s="83">
        <v>45904</v>
      </c>
      <c r="B1336" s="77" t="s">
        <v>664</v>
      </c>
      <c r="C1336" s="77" t="s">
        <v>717</v>
      </c>
      <c r="D1336" s="85" t="s">
        <v>718</v>
      </c>
      <c r="E1336" s="96" t="s">
        <v>719</v>
      </c>
      <c r="F1336" s="104">
        <v>45931</v>
      </c>
      <c r="G1336" s="88" t="s">
        <v>721</v>
      </c>
    </row>
    <row r="1337" spans="1:7" s="77" customFormat="1" ht="15" hidden="1" customHeight="1">
      <c r="A1337" s="83">
        <v>45904</v>
      </c>
      <c r="B1337" s="77" t="s">
        <v>664</v>
      </c>
      <c r="C1337" s="77" t="s">
        <v>717</v>
      </c>
      <c r="D1337" s="85" t="s">
        <v>718</v>
      </c>
      <c r="E1337" s="86" t="s">
        <v>765</v>
      </c>
      <c r="F1337" s="98" t="s">
        <v>728</v>
      </c>
      <c r="G1337" s="88" t="s">
        <v>721</v>
      </c>
    </row>
    <row r="1338" spans="1:7" s="77" customFormat="1" ht="15" hidden="1" customHeight="1">
      <c r="A1338" s="83">
        <v>45904</v>
      </c>
      <c r="B1338" s="77" t="s">
        <v>664</v>
      </c>
      <c r="C1338" s="77" t="s">
        <v>717</v>
      </c>
      <c r="D1338" s="85" t="s">
        <v>718</v>
      </c>
      <c r="E1338" s="86" t="s">
        <v>766</v>
      </c>
      <c r="F1338" s="98" t="s">
        <v>728</v>
      </c>
      <c r="G1338" s="88" t="s">
        <v>721</v>
      </c>
    </row>
    <row r="1339" spans="1:7" s="77" customFormat="1" ht="15" hidden="1" customHeight="1">
      <c r="A1339" s="83">
        <v>45904</v>
      </c>
      <c r="B1339" s="77" t="s">
        <v>664</v>
      </c>
      <c r="C1339" s="77" t="s">
        <v>717</v>
      </c>
      <c r="D1339" s="85" t="s">
        <v>718</v>
      </c>
      <c r="E1339" s="86" t="s">
        <v>767</v>
      </c>
      <c r="F1339" s="98" t="s">
        <v>728</v>
      </c>
      <c r="G1339" s="88" t="s">
        <v>721</v>
      </c>
    </row>
    <row r="1340" spans="1:7" s="77" customFormat="1" ht="15" hidden="1" customHeight="1">
      <c r="A1340" s="83">
        <v>45904</v>
      </c>
      <c r="B1340" s="77" t="s">
        <v>664</v>
      </c>
      <c r="C1340" s="77" t="s">
        <v>717</v>
      </c>
      <c r="D1340" s="85" t="s">
        <v>718</v>
      </c>
      <c r="E1340" s="86" t="s">
        <v>768</v>
      </c>
      <c r="F1340" s="98" t="s">
        <v>728</v>
      </c>
      <c r="G1340" s="88" t="s">
        <v>721</v>
      </c>
    </row>
    <row r="1341" spans="1:7" s="77" customFormat="1" ht="15" hidden="1" customHeight="1">
      <c r="A1341" s="83">
        <v>45904</v>
      </c>
      <c r="B1341" s="77" t="s">
        <v>664</v>
      </c>
      <c r="C1341" s="77" t="s">
        <v>717</v>
      </c>
      <c r="D1341" s="85" t="s">
        <v>718</v>
      </c>
      <c r="E1341" s="86" t="s">
        <v>769</v>
      </c>
      <c r="F1341" s="98" t="s">
        <v>728</v>
      </c>
      <c r="G1341" s="88" t="s">
        <v>721</v>
      </c>
    </row>
    <row r="1342" spans="1:7" s="77" customFormat="1" ht="15" hidden="1" customHeight="1">
      <c r="A1342" s="83">
        <v>45904</v>
      </c>
      <c r="B1342" s="77" t="s">
        <v>664</v>
      </c>
      <c r="C1342" s="77" t="s">
        <v>717</v>
      </c>
      <c r="D1342" s="85" t="s">
        <v>718</v>
      </c>
      <c r="E1342" s="86" t="s">
        <v>770</v>
      </c>
      <c r="F1342" s="98" t="s">
        <v>728</v>
      </c>
      <c r="G1342" s="88" t="s">
        <v>721</v>
      </c>
    </row>
    <row r="1343" spans="1:7" s="77" customFormat="1" ht="15" hidden="1" customHeight="1">
      <c r="A1343" s="83">
        <v>45904</v>
      </c>
      <c r="B1343" s="77" t="s">
        <v>664</v>
      </c>
      <c r="C1343" s="77" t="s">
        <v>717</v>
      </c>
      <c r="D1343" s="85" t="s">
        <v>718</v>
      </c>
      <c r="E1343" s="86" t="s">
        <v>771</v>
      </c>
      <c r="F1343" s="98" t="s">
        <v>728</v>
      </c>
      <c r="G1343" s="88" t="s">
        <v>721</v>
      </c>
    </row>
    <row r="1344" spans="1:7" s="77" customFormat="1" ht="15" hidden="1" customHeight="1">
      <c r="A1344" s="83">
        <v>45904</v>
      </c>
      <c r="B1344" s="77" t="s">
        <v>664</v>
      </c>
      <c r="C1344" s="77" t="s">
        <v>717</v>
      </c>
      <c r="D1344" s="85" t="s">
        <v>718</v>
      </c>
      <c r="E1344" s="86" t="s">
        <v>772</v>
      </c>
      <c r="F1344" s="98" t="s">
        <v>728</v>
      </c>
      <c r="G1344" s="88" t="s">
        <v>721</v>
      </c>
    </row>
    <row r="1345" spans="1:11" s="77" customFormat="1" ht="15" hidden="1" customHeight="1">
      <c r="A1345" s="83">
        <v>45904</v>
      </c>
      <c r="B1345" s="77" t="s">
        <v>664</v>
      </c>
      <c r="C1345" s="77" t="s">
        <v>717</v>
      </c>
      <c r="D1345" s="85" t="s">
        <v>718</v>
      </c>
      <c r="E1345" s="96" t="s">
        <v>803</v>
      </c>
      <c r="F1345" s="98" t="s">
        <v>728</v>
      </c>
      <c r="G1345" s="88" t="s">
        <v>721</v>
      </c>
    </row>
    <row r="1346" spans="1:11" ht="15" customHeight="1">
      <c r="A1346" s="90">
        <v>45904</v>
      </c>
      <c r="B1346" s="78" t="s">
        <v>357</v>
      </c>
      <c r="C1346" s="78" t="s">
        <v>717</v>
      </c>
      <c r="D1346" s="91" t="s">
        <v>726</v>
      </c>
      <c r="E1346" s="100" t="s">
        <v>727</v>
      </c>
      <c r="F1346" s="78" t="s">
        <v>882</v>
      </c>
      <c r="G1346" s="94">
        <v>1856150</v>
      </c>
      <c r="H1346" s="78" t="s">
        <v>354</v>
      </c>
      <c r="I1346" s="78" t="s">
        <v>724</v>
      </c>
      <c r="J1346" s="78" t="s">
        <v>879</v>
      </c>
      <c r="K1346" s="78" t="s">
        <v>354</v>
      </c>
    </row>
    <row r="1347" spans="1:11" ht="15" customHeight="1">
      <c r="A1347" s="90">
        <v>45904</v>
      </c>
      <c r="B1347" s="78" t="s">
        <v>357</v>
      </c>
      <c r="C1347" s="78" t="s">
        <v>717</v>
      </c>
      <c r="D1347" s="91" t="s">
        <v>726</v>
      </c>
      <c r="E1347" s="78" t="s">
        <v>729</v>
      </c>
      <c r="F1347" s="78" t="s">
        <v>883</v>
      </c>
      <c r="G1347" s="94">
        <v>1856150</v>
      </c>
      <c r="H1347" s="78" t="s">
        <v>354</v>
      </c>
      <c r="I1347" s="78" t="s">
        <v>724</v>
      </c>
      <c r="J1347" s="78" t="s">
        <v>879</v>
      </c>
      <c r="K1347" s="78" t="s">
        <v>354</v>
      </c>
    </row>
    <row r="1348" spans="1:11" s="77" customFormat="1" ht="15" hidden="1" customHeight="1">
      <c r="A1348" s="83">
        <v>45904</v>
      </c>
      <c r="B1348" s="77" t="s">
        <v>357</v>
      </c>
      <c r="C1348" s="77" t="s">
        <v>717</v>
      </c>
      <c r="D1348" s="86" t="s">
        <v>726</v>
      </c>
      <c r="E1348" s="96" t="s">
        <v>730</v>
      </c>
      <c r="F1348" s="98" t="s">
        <v>728</v>
      </c>
      <c r="G1348" s="106" t="s">
        <v>721</v>
      </c>
    </row>
    <row r="1349" spans="1:11" s="77" customFormat="1" ht="15" hidden="1" customHeight="1">
      <c r="A1349" s="83">
        <v>45904</v>
      </c>
      <c r="B1349" s="77" t="s">
        <v>357</v>
      </c>
      <c r="C1349" s="77" t="s">
        <v>717</v>
      </c>
      <c r="D1349" s="86" t="s">
        <v>726</v>
      </c>
      <c r="E1349" s="96" t="s">
        <v>731</v>
      </c>
      <c r="F1349" s="98" t="s">
        <v>728</v>
      </c>
      <c r="G1349" s="106" t="s">
        <v>721</v>
      </c>
    </row>
    <row r="1350" spans="1:11" s="77" customFormat="1" ht="15" hidden="1" customHeight="1">
      <c r="A1350" s="83">
        <v>45904</v>
      </c>
      <c r="B1350" s="77" t="s">
        <v>357</v>
      </c>
      <c r="C1350" s="77" t="s">
        <v>717</v>
      </c>
      <c r="D1350" s="86" t="s">
        <v>726</v>
      </c>
      <c r="E1350" s="96" t="s">
        <v>732</v>
      </c>
      <c r="F1350" s="98" t="s">
        <v>728</v>
      </c>
      <c r="G1350" s="106" t="s">
        <v>721</v>
      </c>
    </row>
    <row r="1351" spans="1:11" s="77" customFormat="1" ht="15" hidden="1" customHeight="1">
      <c r="A1351" s="83">
        <v>45904</v>
      </c>
      <c r="B1351" s="77" t="s">
        <v>357</v>
      </c>
      <c r="C1351" s="77" t="s">
        <v>717</v>
      </c>
      <c r="D1351" s="86" t="s">
        <v>726</v>
      </c>
      <c r="E1351" s="96" t="s">
        <v>733</v>
      </c>
      <c r="F1351" s="98" t="s">
        <v>728</v>
      </c>
      <c r="G1351" s="106" t="s">
        <v>721</v>
      </c>
    </row>
    <row r="1352" spans="1:11" s="77" customFormat="1" ht="15" hidden="1" customHeight="1">
      <c r="A1352" s="83">
        <v>45904</v>
      </c>
      <c r="B1352" s="77" t="s">
        <v>357</v>
      </c>
      <c r="C1352" s="77" t="s">
        <v>717</v>
      </c>
      <c r="D1352" s="86" t="s">
        <v>726</v>
      </c>
      <c r="E1352" s="96" t="s">
        <v>734</v>
      </c>
      <c r="F1352" s="98" t="s">
        <v>728</v>
      </c>
      <c r="G1352" s="106" t="s">
        <v>721</v>
      </c>
    </row>
    <row r="1353" spans="1:11" s="77" customFormat="1" ht="15" hidden="1" customHeight="1">
      <c r="A1353" s="83">
        <v>45904</v>
      </c>
      <c r="B1353" s="77" t="s">
        <v>357</v>
      </c>
      <c r="C1353" s="77" t="s">
        <v>717</v>
      </c>
      <c r="D1353" s="86" t="s">
        <v>726</v>
      </c>
      <c r="E1353" s="96" t="s">
        <v>735</v>
      </c>
      <c r="F1353" s="98" t="s">
        <v>728</v>
      </c>
      <c r="G1353" s="106" t="s">
        <v>721</v>
      </c>
    </row>
    <row r="1354" spans="1:11" ht="15" customHeight="1">
      <c r="A1354" s="90">
        <v>45904</v>
      </c>
      <c r="B1354" s="78" t="s">
        <v>357</v>
      </c>
      <c r="C1354" s="78" t="s">
        <v>717</v>
      </c>
      <c r="D1354" s="91" t="s">
        <v>736</v>
      </c>
      <c r="E1354" s="78" t="s">
        <v>737</v>
      </c>
      <c r="F1354" s="78" t="s">
        <v>884</v>
      </c>
      <c r="G1354" s="94">
        <v>1856150</v>
      </c>
      <c r="H1354" s="78" t="s">
        <v>354</v>
      </c>
      <c r="I1354" s="78" t="s">
        <v>724</v>
      </c>
      <c r="J1354" s="78" t="s">
        <v>879</v>
      </c>
      <c r="K1354" s="78" t="s">
        <v>354</v>
      </c>
    </row>
    <row r="1355" spans="1:11" s="77" customFormat="1" ht="15" hidden="1" customHeight="1">
      <c r="A1355" s="83">
        <v>45904</v>
      </c>
      <c r="B1355" s="77" t="s">
        <v>357</v>
      </c>
      <c r="C1355" s="77" t="s">
        <v>717</v>
      </c>
      <c r="D1355" s="86" t="s">
        <v>736</v>
      </c>
      <c r="E1355" s="96" t="s">
        <v>738</v>
      </c>
      <c r="F1355" s="96" t="s">
        <v>885</v>
      </c>
      <c r="G1355" s="97" t="s">
        <v>721</v>
      </c>
    </row>
    <row r="1356" spans="1:11" s="77" customFormat="1" ht="15" hidden="1" customHeight="1">
      <c r="A1356" s="83">
        <v>45904</v>
      </c>
      <c r="B1356" s="77" t="s">
        <v>357</v>
      </c>
      <c r="C1356" s="77" t="s">
        <v>717</v>
      </c>
      <c r="D1356" s="85" t="s">
        <v>739</v>
      </c>
      <c r="E1356" s="96" t="s">
        <v>740</v>
      </c>
      <c r="F1356" s="98" t="s">
        <v>728</v>
      </c>
      <c r="G1356" s="97" t="s">
        <v>721</v>
      </c>
    </row>
    <row r="1357" spans="1:11" s="77" customFormat="1" ht="15" hidden="1" customHeight="1">
      <c r="A1357" s="83">
        <v>45904</v>
      </c>
      <c r="B1357" s="77" t="s">
        <v>357</v>
      </c>
      <c r="C1357" s="77" t="s">
        <v>717</v>
      </c>
      <c r="D1357" s="85" t="s">
        <v>739</v>
      </c>
      <c r="E1357" s="96" t="s">
        <v>741</v>
      </c>
      <c r="F1357" s="98" t="s">
        <v>728</v>
      </c>
      <c r="G1357" s="97" t="s">
        <v>721</v>
      </c>
    </row>
    <row r="1358" spans="1:11" s="77" customFormat="1" ht="15" hidden="1" customHeight="1">
      <c r="A1358" s="83">
        <v>45904</v>
      </c>
      <c r="B1358" s="77" t="s">
        <v>357</v>
      </c>
      <c r="C1358" s="77" t="s">
        <v>717</v>
      </c>
      <c r="D1358" s="85" t="s">
        <v>739</v>
      </c>
      <c r="E1358" s="96" t="s">
        <v>743</v>
      </c>
      <c r="F1358" s="98" t="s">
        <v>433</v>
      </c>
      <c r="G1358" s="97" t="s">
        <v>721</v>
      </c>
    </row>
    <row r="1359" spans="1:11" s="77" customFormat="1" ht="15" hidden="1" customHeight="1">
      <c r="A1359" s="83">
        <v>45904</v>
      </c>
      <c r="B1359" s="77" t="s">
        <v>357</v>
      </c>
      <c r="C1359" s="77" t="s">
        <v>717</v>
      </c>
      <c r="D1359" s="85" t="s">
        <v>744</v>
      </c>
      <c r="E1359" s="96" t="s">
        <v>745</v>
      </c>
      <c r="F1359" s="98" t="s">
        <v>728</v>
      </c>
      <c r="G1359" s="97" t="s">
        <v>721</v>
      </c>
    </row>
    <row r="1360" spans="1:11" s="77" customFormat="1" ht="15" hidden="1" customHeight="1">
      <c r="A1360" s="83">
        <v>45904</v>
      </c>
      <c r="B1360" s="77" t="s">
        <v>357</v>
      </c>
      <c r="C1360" s="77" t="s">
        <v>717</v>
      </c>
      <c r="D1360" s="85" t="s">
        <v>744</v>
      </c>
      <c r="E1360" s="96" t="s">
        <v>746</v>
      </c>
      <c r="F1360" s="98" t="s">
        <v>728</v>
      </c>
      <c r="G1360" s="97" t="s">
        <v>721</v>
      </c>
    </row>
    <row r="1361" spans="1:7" s="77" customFormat="1" ht="15" hidden="1" customHeight="1">
      <c r="A1361" s="83">
        <v>45904</v>
      </c>
      <c r="B1361" s="77" t="s">
        <v>357</v>
      </c>
      <c r="C1361" s="77" t="s">
        <v>717</v>
      </c>
      <c r="D1361" s="85" t="s">
        <v>744</v>
      </c>
      <c r="E1361" s="96" t="s">
        <v>747</v>
      </c>
      <c r="F1361" s="96" t="s">
        <v>801</v>
      </c>
      <c r="G1361" s="97" t="s">
        <v>721</v>
      </c>
    </row>
    <row r="1362" spans="1:7" s="77" customFormat="1" ht="15" hidden="1" customHeight="1">
      <c r="A1362" s="83">
        <v>45904</v>
      </c>
      <c r="B1362" s="77" t="s">
        <v>357</v>
      </c>
      <c r="C1362" s="77" t="s">
        <v>717</v>
      </c>
      <c r="D1362" s="85" t="s">
        <v>744</v>
      </c>
      <c r="E1362" s="96" t="s">
        <v>748</v>
      </c>
      <c r="F1362" s="98" t="s">
        <v>728</v>
      </c>
      <c r="G1362" s="97" t="s">
        <v>721</v>
      </c>
    </row>
    <row r="1363" spans="1:7" s="77" customFormat="1" ht="15" hidden="1" customHeight="1">
      <c r="A1363" s="83">
        <v>45904</v>
      </c>
      <c r="B1363" s="77" t="s">
        <v>357</v>
      </c>
      <c r="C1363" s="77" t="s">
        <v>717</v>
      </c>
      <c r="D1363" s="85" t="s">
        <v>744</v>
      </c>
      <c r="E1363" s="96" t="s">
        <v>749</v>
      </c>
      <c r="F1363" s="98" t="s">
        <v>728</v>
      </c>
      <c r="G1363" s="97" t="s">
        <v>721</v>
      </c>
    </row>
    <row r="1364" spans="1:7" s="77" customFormat="1" ht="15" hidden="1" customHeight="1">
      <c r="A1364" s="83">
        <v>45904</v>
      </c>
      <c r="B1364" s="77" t="s">
        <v>357</v>
      </c>
      <c r="C1364" s="77" t="s">
        <v>717</v>
      </c>
      <c r="D1364" s="85" t="s">
        <v>750</v>
      </c>
      <c r="E1364" s="96" t="s">
        <v>751</v>
      </c>
      <c r="F1364" s="98" t="s">
        <v>728</v>
      </c>
      <c r="G1364" s="97" t="s">
        <v>721</v>
      </c>
    </row>
    <row r="1365" spans="1:7" s="77" customFormat="1" ht="15" hidden="1" customHeight="1">
      <c r="A1365" s="83">
        <v>45904</v>
      </c>
      <c r="B1365" s="77" t="s">
        <v>357</v>
      </c>
      <c r="C1365" s="77" t="s">
        <v>717</v>
      </c>
      <c r="D1365" s="85" t="s">
        <v>750</v>
      </c>
      <c r="E1365" s="96" t="s">
        <v>752</v>
      </c>
      <c r="F1365" s="98" t="s">
        <v>728</v>
      </c>
      <c r="G1365" s="97" t="s">
        <v>721</v>
      </c>
    </row>
    <row r="1366" spans="1:7" s="77" customFormat="1" ht="15" hidden="1" customHeight="1">
      <c r="A1366" s="83">
        <v>45904</v>
      </c>
      <c r="B1366" s="77" t="s">
        <v>357</v>
      </c>
      <c r="C1366" s="77" t="s">
        <v>717</v>
      </c>
      <c r="D1366" s="85" t="s">
        <v>750</v>
      </c>
      <c r="E1366" s="96" t="s">
        <v>753</v>
      </c>
      <c r="F1366" s="98" t="s">
        <v>728</v>
      </c>
      <c r="G1366" s="97" t="s">
        <v>721</v>
      </c>
    </row>
    <row r="1367" spans="1:7" s="77" customFormat="1" ht="15" hidden="1" customHeight="1">
      <c r="A1367" s="83">
        <v>45904</v>
      </c>
      <c r="B1367" s="77" t="s">
        <v>357</v>
      </c>
      <c r="C1367" s="77" t="s">
        <v>717</v>
      </c>
      <c r="D1367" s="85" t="s">
        <v>750</v>
      </c>
      <c r="E1367" s="96" t="s">
        <v>754</v>
      </c>
      <c r="F1367" s="98" t="s">
        <v>728</v>
      </c>
      <c r="G1367" s="97" t="s">
        <v>721</v>
      </c>
    </row>
    <row r="1368" spans="1:7" s="77" customFormat="1" ht="15" hidden="1" customHeight="1">
      <c r="A1368" s="83">
        <v>45904</v>
      </c>
      <c r="B1368" s="77" t="s">
        <v>357</v>
      </c>
      <c r="C1368" s="77" t="s">
        <v>717</v>
      </c>
      <c r="D1368" s="85" t="s">
        <v>755</v>
      </c>
      <c r="E1368" s="86" t="s">
        <v>756</v>
      </c>
      <c r="F1368" s="96" t="s">
        <v>802</v>
      </c>
      <c r="G1368" s="97" t="s">
        <v>721</v>
      </c>
    </row>
    <row r="1369" spans="1:7" s="77" customFormat="1" ht="15" hidden="1" customHeight="1">
      <c r="A1369" s="83">
        <v>45904</v>
      </c>
      <c r="B1369" s="77" t="s">
        <v>357</v>
      </c>
      <c r="C1369" s="77" t="s">
        <v>717</v>
      </c>
      <c r="D1369" s="85" t="s">
        <v>755</v>
      </c>
      <c r="E1369" s="96" t="s">
        <v>757</v>
      </c>
      <c r="F1369" s="96" t="s">
        <v>802</v>
      </c>
      <c r="G1369" s="97" t="s">
        <v>721</v>
      </c>
    </row>
    <row r="1370" spans="1:7" s="77" customFormat="1" ht="15" hidden="1" customHeight="1">
      <c r="A1370" s="83">
        <v>45904</v>
      </c>
      <c r="B1370" s="77" t="s">
        <v>357</v>
      </c>
      <c r="C1370" s="77" t="s">
        <v>717</v>
      </c>
      <c r="D1370" s="85" t="s">
        <v>758</v>
      </c>
      <c r="E1370" s="96" t="s">
        <v>759</v>
      </c>
      <c r="F1370" s="98" t="s">
        <v>728</v>
      </c>
      <c r="G1370" s="97" t="s">
        <v>721</v>
      </c>
    </row>
    <row r="1371" spans="1:7" s="77" customFormat="1" ht="15" hidden="1" customHeight="1">
      <c r="A1371" s="83">
        <v>45904</v>
      </c>
      <c r="B1371" s="77" t="s">
        <v>357</v>
      </c>
      <c r="C1371" s="77" t="s">
        <v>717</v>
      </c>
      <c r="D1371" s="85" t="s">
        <v>758</v>
      </c>
      <c r="E1371" s="96" t="s">
        <v>760</v>
      </c>
      <c r="F1371" s="98" t="s">
        <v>728</v>
      </c>
      <c r="G1371" s="97" t="s">
        <v>721</v>
      </c>
    </row>
    <row r="1372" spans="1:7" s="77" customFormat="1" ht="15" hidden="1" customHeight="1">
      <c r="A1372" s="83">
        <v>45904</v>
      </c>
      <c r="B1372" s="77" t="s">
        <v>357</v>
      </c>
      <c r="C1372" s="77" t="s">
        <v>717</v>
      </c>
      <c r="D1372" s="85" t="s">
        <v>758</v>
      </c>
      <c r="E1372" s="96" t="s">
        <v>761</v>
      </c>
      <c r="F1372" s="98" t="s">
        <v>728</v>
      </c>
      <c r="G1372" s="97" t="s">
        <v>721</v>
      </c>
    </row>
    <row r="1373" spans="1:7" s="77" customFormat="1" ht="15" hidden="1" customHeight="1">
      <c r="A1373" s="83">
        <v>45904</v>
      </c>
      <c r="B1373" s="77" t="s">
        <v>357</v>
      </c>
      <c r="C1373" s="77" t="s">
        <v>717</v>
      </c>
      <c r="D1373" s="85" t="s">
        <v>758</v>
      </c>
      <c r="E1373" s="96" t="s">
        <v>762</v>
      </c>
      <c r="F1373" s="98" t="s">
        <v>728</v>
      </c>
      <c r="G1373" s="97" t="s">
        <v>721</v>
      </c>
    </row>
    <row r="1374" spans="1:7" s="77" customFormat="1" ht="15" hidden="1" customHeight="1">
      <c r="A1374" s="83">
        <v>45904</v>
      </c>
      <c r="B1374" s="77" t="s">
        <v>357</v>
      </c>
      <c r="C1374" s="77" t="s">
        <v>717</v>
      </c>
      <c r="D1374" s="85" t="s">
        <v>758</v>
      </c>
      <c r="E1374" s="96" t="s">
        <v>763</v>
      </c>
      <c r="F1374" s="98" t="s">
        <v>728</v>
      </c>
      <c r="G1374" s="97" t="s">
        <v>721</v>
      </c>
    </row>
    <row r="1375" spans="1:7" s="77" customFormat="1" ht="15" hidden="1" customHeight="1">
      <c r="A1375" s="83">
        <v>45904</v>
      </c>
      <c r="B1375" s="77" t="s">
        <v>357</v>
      </c>
      <c r="C1375" s="77" t="s">
        <v>717</v>
      </c>
      <c r="D1375" s="85" t="s">
        <v>758</v>
      </c>
      <c r="E1375" s="96" t="s">
        <v>764</v>
      </c>
      <c r="F1375" s="98" t="s">
        <v>728</v>
      </c>
      <c r="G1375" s="97" t="s">
        <v>721</v>
      </c>
    </row>
    <row r="1376" spans="1:7" s="77" customFormat="1" ht="15" hidden="1" customHeight="1">
      <c r="A1376" s="83">
        <v>45904</v>
      </c>
      <c r="B1376" s="77" t="s">
        <v>357</v>
      </c>
      <c r="C1376" s="77" t="s">
        <v>717</v>
      </c>
      <c r="D1376" s="85" t="s">
        <v>718</v>
      </c>
      <c r="E1376" s="96" t="s">
        <v>719</v>
      </c>
      <c r="F1376" s="104">
        <v>45931</v>
      </c>
      <c r="G1376" s="97" t="s">
        <v>721</v>
      </c>
    </row>
    <row r="1377" spans="1:7" s="77" customFormat="1" ht="15" hidden="1" customHeight="1">
      <c r="A1377" s="83">
        <v>45904</v>
      </c>
      <c r="B1377" s="77" t="s">
        <v>357</v>
      </c>
      <c r="C1377" s="77" t="s">
        <v>717</v>
      </c>
      <c r="D1377" s="85" t="s">
        <v>718</v>
      </c>
      <c r="E1377" s="86" t="s">
        <v>765</v>
      </c>
      <c r="F1377" s="98" t="s">
        <v>728</v>
      </c>
      <c r="G1377" s="97" t="s">
        <v>721</v>
      </c>
    </row>
    <row r="1378" spans="1:7" s="77" customFormat="1" ht="15" hidden="1" customHeight="1">
      <c r="A1378" s="83">
        <v>45904</v>
      </c>
      <c r="B1378" s="77" t="s">
        <v>357</v>
      </c>
      <c r="C1378" s="77" t="s">
        <v>717</v>
      </c>
      <c r="D1378" s="85" t="s">
        <v>718</v>
      </c>
      <c r="E1378" s="86" t="s">
        <v>766</v>
      </c>
      <c r="F1378" s="98" t="s">
        <v>728</v>
      </c>
      <c r="G1378" s="97" t="s">
        <v>721</v>
      </c>
    </row>
    <row r="1379" spans="1:7" s="77" customFormat="1" ht="15" hidden="1" customHeight="1">
      <c r="A1379" s="83">
        <v>45904</v>
      </c>
      <c r="B1379" s="77" t="s">
        <v>357</v>
      </c>
      <c r="C1379" s="77" t="s">
        <v>717</v>
      </c>
      <c r="D1379" s="85" t="s">
        <v>718</v>
      </c>
      <c r="E1379" s="86" t="s">
        <v>767</v>
      </c>
      <c r="F1379" s="98" t="s">
        <v>728</v>
      </c>
      <c r="G1379" s="97" t="s">
        <v>721</v>
      </c>
    </row>
    <row r="1380" spans="1:7" s="77" customFormat="1" ht="15" hidden="1" customHeight="1">
      <c r="A1380" s="83">
        <v>45904</v>
      </c>
      <c r="B1380" s="77" t="s">
        <v>357</v>
      </c>
      <c r="C1380" s="77" t="s">
        <v>717</v>
      </c>
      <c r="D1380" s="85" t="s">
        <v>718</v>
      </c>
      <c r="E1380" s="86" t="s">
        <v>768</v>
      </c>
      <c r="F1380" s="98" t="s">
        <v>728</v>
      </c>
      <c r="G1380" s="97" t="s">
        <v>721</v>
      </c>
    </row>
    <row r="1381" spans="1:7" s="77" customFormat="1" ht="15" hidden="1" customHeight="1">
      <c r="A1381" s="83">
        <v>45904</v>
      </c>
      <c r="B1381" s="77" t="s">
        <v>357</v>
      </c>
      <c r="C1381" s="77" t="s">
        <v>717</v>
      </c>
      <c r="D1381" s="85" t="s">
        <v>718</v>
      </c>
      <c r="E1381" s="86" t="s">
        <v>769</v>
      </c>
      <c r="F1381" s="98" t="s">
        <v>728</v>
      </c>
      <c r="G1381" s="97" t="s">
        <v>721</v>
      </c>
    </row>
    <row r="1382" spans="1:7" s="77" customFormat="1" ht="15" hidden="1" customHeight="1">
      <c r="A1382" s="83">
        <v>45904</v>
      </c>
      <c r="B1382" s="77" t="s">
        <v>357</v>
      </c>
      <c r="C1382" s="77" t="s">
        <v>717</v>
      </c>
      <c r="D1382" s="85" t="s">
        <v>718</v>
      </c>
      <c r="E1382" s="86" t="s">
        <v>770</v>
      </c>
      <c r="F1382" s="98" t="s">
        <v>728</v>
      </c>
      <c r="G1382" s="97" t="s">
        <v>721</v>
      </c>
    </row>
    <row r="1383" spans="1:7" s="77" customFormat="1" ht="15" hidden="1" customHeight="1">
      <c r="A1383" s="83">
        <v>45904</v>
      </c>
      <c r="B1383" s="77" t="s">
        <v>357</v>
      </c>
      <c r="C1383" s="77" t="s">
        <v>717</v>
      </c>
      <c r="D1383" s="85" t="s">
        <v>718</v>
      </c>
      <c r="E1383" s="86" t="s">
        <v>771</v>
      </c>
      <c r="F1383" s="98" t="s">
        <v>728</v>
      </c>
      <c r="G1383" s="97" t="s">
        <v>721</v>
      </c>
    </row>
    <row r="1384" spans="1:7" s="77" customFormat="1" ht="15" hidden="1" customHeight="1">
      <c r="A1384" s="83">
        <v>45904</v>
      </c>
      <c r="B1384" s="77" t="s">
        <v>357</v>
      </c>
      <c r="C1384" s="77" t="s">
        <v>717</v>
      </c>
      <c r="D1384" s="85" t="s">
        <v>718</v>
      </c>
      <c r="E1384" s="86" t="s">
        <v>772</v>
      </c>
      <c r="F1384" s="98" t="s">
        <v>728</v>
      </c>
      <c r="G1384" s="97" t="s">
        <v>721</v>
      </c>
    </row>
    <row r="1385" spans="1:7" s="77" customFormat="1" ht="15" hidden="1" customHeight="1">
      <c r="A1385" s="83">
        <v>45904</v>
      </c>
      <c r="B1385" s="77" t="s">
        <v>357</v>
      </c>
      <c r="C1385" s="77" t="s">
        <v>717</v>
      </c>
      <c r="D1385" s="85" t="s">
        <v>718</v>
      </c>
      <c r="E1385" s="96" t="s">
        <v>803</v>
      </c>
      <c r="F1385" s="98" t="s">
        <v>728</v>
      </c>
      <c r="G1385" s="97" t="s">
        <v>721</v>
      </c>
    </row>
    <row r="1044885" s="79" customFormat="1"/>
    <row r="1044886" s="79" customFormat="1"/>
    <row r="1044887" s="79" customFormat="1"/>
    <row r="1044888" s="79" customFormat="1"/>
    <row r="1044889" s="79" customFormat="1"/>
    <row r="1044890" s="79" customFormat="1"/>
    <row r="1044891" s="79" customFormat="1"/>
    <row r="1044892" s="79" customFormat="1"/>
    <row r="1044893" s="79" customFormat="1"/>
    <row r="1044894" s="79" customFormat="1"/>
    <row r="1044895" s="79" customFormat="1"/>
    <row r="1044896" s="79" customFormat="1"/>
    <row r="1044897" s="79" customFormat="1"/>
    <row r="1044898" s="79" customFormat="1"/>
    <row r="1044899" s="79" customFormat="1"/>
    <row r="1044900" s="79" customFormat="1"/>
    <row r="1044901" s="79" customFormat="1"/>
    <row r="1044902" s="79" customFormat="1"/>
    <row r="1044903" s="79" customFormat="1"/>
    <row r="1044904" s="79" customFormat="1"/>
    <row r="1044905" s="79" customFormat="1"/>
    <row r="1044906" s="79" customFormat="1"/>
    <row r="1044907" s="79" customFormat="1"/>
    <row r="1044908" s="79" customFormat="1"/>
    <row r="1044909" s="79" customFormat="1"/>
    <row r="1044910" s="79" customFormat="1"/>
    <row r="1044911" s="79" customFormat="1"/>
    <row r="1044912" s="79" customFormat="1"/>
    <row r="1044913" s="79" customFormat="1"/>
    <row r="1044914" s="79" customFormat="1"/>
    <row r="1044915" s="79" customFormat="1"/>
    <row r="1044916" s="79" customFormat="1"/>
    <row r="1044917" s="79" customFormat="1"/>
    <row r="1044918" s="79" customFormat="1"/>
    <row r="1044919" s="79" customFormat="1"/>
    <row r="1044920" s="79" customFormat="1"/>
    <row r="1044921" s="79" customFormat="1"/>
    <row r="1044922" s="79" customFormat="1"/>
    <row r="1044923" s="79" customFormat="1"/>
    <row r="1044924" s="79" customFormat="1"/>
    <row r="1044925" s="79" customFormat="1"/>
    <row r="1044926" s="79" customFormat="1"/>
    <row r="1044927" s="79" customFormat="1"/>
    <row r="1044928" s="79" customFormat="1"/>
    <row r="1044929" s="79" customFormat="1"/>
    <row r="1044930" s="79" customFormat="1"/>
    <row r="1044931" s="79" customFormat="1"/>
    <row r="1044932" s="79" customFormat="1"/>
    <row r="1044933" s="79" customFormat="1"/>
    <row r="1044934" s="79" customFormat="1"/>
    <row r="1044935" s="79" customFormat="1"/>
    <row r="1044936" s="79" customFormat="1"/>
    <row r="1044937" s="79" customFormat="1"/>
    <row r="1044938" s="79" customFormat="1"/>
    <row r="1044939" s="79" customFormat="1"/>
    <row r="1044940" s="79" customFormat="1"/>
    <row r="1044941" s="79" customFormat="1"/>
    <row r="1044942" s="79" customFormat="1"/>
    <row r="1044943" s="79" customFormat="1"/>
    <row r="1044944" s="79" customFormat="1"/>
    <row r="1044945" s="79" customFormat="1"/>
    <row r="1044946" s="79" customFormat="1"/>
    <row r="1044947" s="79" customFormat="1"/>
    <row r="1044948" s="79" customFormat="1"/>
    <row r="1044949" s="79" customFormat="1"/>
    <row r="1044950" s="79" customFormat="1"/>
    <row r="1044951" s="79" customFormat="1"/>
    <row r="1044952" s="79" customFormat="1"/>
    <row r="1044953" s="79" customFormat="1"/>
    <row r="1044954" s="79" customFormat="1"/>
    <row r="1044955" s="79" customFormat="1"/>
    <row r="1044956" s="79" customFormat="1"/>
    <row r="1044957" s="79" customFormat="1"/>
    <row r="1044958" s="79" customFormat="1"/>
    <row r="1044959" s="79" customFormat="1"/>
    <row r="1044960" s="79" customFormat="1"/>
    <row r="1044961" s="79" customFormat="1"/>
    <row r="1044962" s="79" customFormat="1"/>
    <row r="1044963" s="79" customFormat="1"/>
    <row r="1044964" s="79" customFormat="1"/>
    <row r="1044965" s="79" customFormat="1"/>
    <row r="1044966" s="79" customFormat="1"/>
    <row r="1044967" s="79" customFormat="1"/>
    <row r="1044968" s="79" customFormat="1"/>
    <row r="1044969" s="79" customFormat="1"/>
    <row r="1044970" s="79" customFormat="1"/>
    <row r="1044971" s="79" customFormat="1"/>
    <row r="1044972" s="79" customFormat="1"/>
    <row r="1044973" s="79" customFormat="1"/>
    <row r="1044974" s="79" customFormat="1"/>
    <row r="1044975" s="79" customFormat="1"/>
    <row r="1044976" s="79" customFormat="1"/>
    <row r="1044977" s="79" customFormat="1"/>
    <row r="1044978" s="79" customFormat="1"/>
    <row r="1044979" s="79" customFormat="1"/>
    <row r="1044980" s="79" customFormat="1"/>
    <row r="1044981" s="79" customFormat="1"/>
    <row r="1044982" s="79" customFormat="1"/>
    <row r="1044983" s="79" customFormat="1"/>
    <row r="1044984" s="79" customFormat="1"/>
    <row r="1044985" s="79" customFormat="1"/>
    <row r="1044986" s="79" customFormat="1"/>
    <row r="1044987" s="79" customFormat="1"/>
    <row r="1044988" s="79" customFormat="1"/>
    <row r="1044989" s="79" customFormat="1"/>
    <row r="1044990" s="79" customFormat="1"/>
    <row r="1044991" s="79" customFormat="1"/>
    <row r="1044992" s="79" customFormat="1"/>
    <row r="1044993" s="79" customFormat="1"/>
    <row r="1044994" s="79" customFormat="1"/>
    <row r="1044995" s="79" customFormat="1"/>
    <row r="1044996" s="79" customFormat="1"/>
    <row r="1044997" s="79" customFormat="1"/>
    <row r="1044998" s="79" customFormat="1"/>
    <row r="1044999" s="79" customFormat="1"/>
    <row r="1045000" s="79" customFormat="1"/>
    <row r="1045001" s="79" customFormat="1"/>
    <row r="1045002" s="79" customFormat="1"/>
    <row r="1045003" s="79" customFormat="1"/>
    <row r="1045004" s="79" customFormat="1"/>
    <row r="1045005" s="79" customFormat="1"/>
    <row r="1045006" s="79" customFormat="1"/>
    <row r="1045007" s="79" customFormat="1"/>
    <row r="1045008" s="79" customFormat="1"/>
    <row r="1045009" s="79" customFormat="1"/>
    <row r="1045010" s="79" customFormat="1"/>
    <row r="1045011" s="79" customFormat="1"/>
    <row r="1045012" s="79" customFormat="1"/>
    <row r="1045013" s="79" customFormat="1"/>
    <row r="1045014" s="79" customFormat="1"/>
    <row r="1045015" s="79" customFormat="1"/>
    <row r="1045016" s="79" customFormat="1"/>
    <row r="1045017" s="79" customFormat="1"/>
    <row r="1045018" s="79" customFormat="1"/>
    <row r="1045019" s="79" customFormat="1"/>
    <row r="1045020" s="79" customFormat="1"/>
    <row r="1045021" s="79" customFormat="1"/>
    <row r="1045022" s="79" customFormat="1"/>
    <row r="1045023" s="79" customFormat="1"/>
    <row r="1045024" s="79" customFormat="1"/>
    <row r="1045025" s="79" customFormat="1"/>
    <row r="1045026" s="79" customFormat="1"/>
    <row r="1045027" s="79" customFormat="1"/>
    <row r="1045028" s="79" customFormat="1"/>
    <row r="1045029" s="79" customFormat="1"/>
    <row r="1045030" s="79" customFormat="1"/>
    <row r="1045031" s="79" customFormat="1"/>
    <row r="1045032" s="79" customFormat="1"/>
    <row r="1045033" s="79" customFormat="1"/>
    <row r="1045034" s="79" customFormat="1"/>
    <row r="1045035" s="79" customFormat="1"/>
    <row r="1045036" s="79" customFormat="1"/>
    <row r="1045037" s="79" customFormat="1"/>
    <row r="1045038" s="79" customFormat="1"/>
    <row r="1045039" s="79" customFormat="1"/>
    <row r="1045040" s="79" customFormat="1"/>
    <row r="1045041" s="79" customFormat="1"/>
    <row r="1045042" s="79" customFormat="1"/>
    <row r="1045043" s="79" customFormat="1"/>
    <row r="1045044" s="79" customFormat="1"/>
    <row r="1045045" s="79" customFormat="1"/>
    <row r="1045046" s="79" customFormat="1"/>
    <row r="1045047" s="79" customFormat="1"/>
    <row r="1045048" s="79" customFormat="1"/>
    <row r="1045049" s="79" customFormat="1"/>
    <row r="1045050" s="79" customFormat="1"/>
    <row r="1045051" s="79" customFormat="1"/>
    <row r="1045052" s="79" customFormat="1"/>
    <row r="1045053" s="79" customFormat="1"/>
    <row r="1045054" s="79" customFormat="1"/>
    <row r="1045055" s="79" customFormat="1"/>
    <row r="1045056" s="79" customFormat="1"/>
    <row r="1045057" s="79" customFormat="1"/>
    <row r="1045058" s="79" customFormat="1"/>
    <row r="1045059" s="79" customFormat="1"/>
    <row r="1045060" s="79" customFormat="1"/>
    <row r="1045061" s="79" customFormat="1"/>
    <row r="1045062" s="79" customFormat="1"/>
    <row r="1045063" s="79" customFormat="1"/>
    <row r="1045064" s="79" customFormat="1"/>
    <row r="1045065" s="79" customFormat="1"/>
    <row r="1045066" s="79" customFormat="1"/>
    <row r="1045067" s="79" customFormat="1"/>
    <row r="1045068" s="79" customFormat="1"/>
    <row r="1045069" s="79" customFormat="1"/>
    <row r="1045070" s="79" customFormat="1"/>
    <row r="1045071" s="79" customFormat="1"/>
    <row r="1045072" s="79" customFormat="1"/>
    <row r="1045073" s="79" customFormat="1"/>
    <row r="1045074" s="79" customFormat="1"/>
    <row r="1045075" s="79" customFormat="1"/>
    <row r="1045076" s="79" customFormat="1"/>
    <row r="1045077" s="79" customFormat="1"/>
    <row r="1045078" s="79" customFormat="1"/>
    <row r="1045079" s="79" customFormat="1"/>
    <row r="1045080" s="79" customFormat="1"/>
    <row r="1045081" s="79" customFormat="1"/>
    <row r="1045082" s="79" customFormat="1"/>
    <row r="1045083" s="79" customFormat="1"/>
    <row r="1045084" s="79" customFormat="1"/>
    <row r="1045085" s="79" customFormat="1"/>
    <row r="1045086" s="79" customFormat="1"/>
    <row r="1045087" s="79" customFormat="1"/>
    <row r="1045088" s="79" customFormat="1"/>
    <row r="1045089" s="79" customFormat="1"/>
    <row r="1045090" s="79" customFormat="1"/>
    <row r="1045091" s="79" customFormat="1"/>
    <row r="1045092" s="79" customFormat="1"/>
    <row r="1045093" s="79" customFormat="1"/>
    <row r="1045094" s="79" customFormat="1"/>
    <row r="1045095" s="79" customFormat="1"/>
    <row r="1045096" s="79" customFormat="1"/>
    <row r="1045097" s="79" customFormat="1"/>
    <row r="1045098" s="79" customFormat="1"/>
    <row r="1045099" s="79" customFormat="1"/>
    <row r="1045100" s="79" customFormat="1"/>
    <row r="1045101" s="79" customFormat="1"/>
    <row r="1045102" s="79" customFormat="1"/>
    <row r="1045103" s="79" customFormat="1"/>
    <row r="1045104" s="79" customFormat="1"/>
    <row r="1045105" s="79" customFormat="1"/>
    <row r="1045106" s="79" customFormat="1"/>
    <row r="1045107" s="79" customFormat="1"/>
    <row r="1045108" s="79" customFormat="1"/>
    <row r="1045109" s="79" customFormat="1"/>
    <row r="1045110" s="79" customFormat="1"/>
    <row r="1045111" s="79" customFormat="1"/>
    <row r="1045112" s="79" customFormat="1"/>
    <row r="1045113" s="79" customFormat="1"/>
    <row r="1045114" s="79" customFormat="1"/>
    <row r="1045115" s="79" customFormat="1"/>
    <row r="1045116" s="79" customFormat="1"/>
    <row r="1045117" s="79" customFormat="1"/>
    <row r="1045118" s="79" customFormat="1"/>
    <row r="1045119" s="79" customFormat="1"/>
    <row r="1045120" s="79" customFormat="1"/>
    <row r="1045121" s="79" customFormat="1"/>
    <row r="1045122" s="79" customFormat="1"/>
    <row r="1045123" s="79" customFormat="1"/>
    <row r="1045124" s="79" customFormat="1"/>
    <row r="1045125" s="79" customFormat="1"/>
    <row r="1045126" s="79" customFormat="1"/>
    <row r="1045127" s="79" customFormat="1"/>
    <row r="1045128" s="79" customFormat="1"/>
    <row r="1045129" s="79" customFormat="1"/>
    <row r="1045130" s="79" customFormat="1"/>
    <row r="1045131" s="79" customFormat="1"/>
    <row r="1045132" s="79" customFormat="1"/>
    <row r="1045133" s="79" customFormat="1"/>
    <row r="1045134" s="79" customFormat="1"/>
    <row r="1045135" s="79" customFormat="1"/>
    <row r="1045136" s="79" customFormat="1"/>
    <row r="1045137" s="79" customFormat="1"/>
    <row r="1045138" s="79" customFormat="1"/>
    <row r="1045139" s="79" customFormat="1"/>
    <row r="1045140" s="79" customFormat="1"/>
    <row r="1045141" s="79" customFormat="1"/>
    <row r="1045142" s="79" customFormat="1"/>
    <row r="1045143" s="79" customFormat="1"/>
    <row r="1045144" s="79" customFormat="1"/>
    <row r="1045145" s="79" customFormat="1"/>
    <row r="1045146" s="79" customFormat="1"/>
    <row r="1045147" s="79" customFormat="1"/>
    <row r="1045148" s="79" customFormat="1"/>
    <row r="1045149" s="79" customFormat="1"/>
    <row r="1045150" s="79" customFormat="1"/>
    <row r="1045151" s="79" customFormat="1"/>
    <row r="1045152" s="79" customFormat="1"/>
    <row r="1045153" s="79" customFormat="1"/>
    <row r="1045154" s="79" customFormat="1"/>
    <row r="1045155" s="79" customFormat="1"/>
    <row r="1045156" s="79" customFormat="1"/>
    <row r="1045157" s="79" customFormat="1"/>
    <row r="1045158" s="79" customFormat="1"/>
    <row r="1045159" s="79" customFormat="1"/>
    <row r="1045160" s="79" customFormat="1"/>
    <row r="1045161" s="79" customFormat="1"/>
    <row r="1045162" s="79" customFormat="1"/>
    <row r="1045163" s="79" customFormat="1"/>
    <row r="1045164" s="79" customFormat="1"/>
    <row r="1045165" s="79" customFormat="1"/>
    <row r="1045166" s="79" customFormat="1"/>
    <row r="1045167" s="79" customFormat="1"/>
    <row r="1045168" s="79" customFormat="1"/>
    <row r="1045169" s="79" customFormat="1"/>
    <row r="1045170" s="79" customFormat="1"/>
    <row r="1045171" s="79" customFormat="1"/>
    <row r="1045172" s="79" customFormat="1"/>
    <row r="1045173" s="79" customFormat="1"/>
    <row r="1045174" s="79" customFormat="1"/>
    <row r="1045175" s="79" customFormat="1"/>
    <row r="1045176" s="79" customFormat="1"/>
    <row r="1045177" s="79" customFormat="1"/>
    <row r="1045178" s="79" customFormat="1"/>
    <row r="1045179" s="79" customFormat="1"/>
    <row r="1045180" s="79" customFormat="1"/>
    <row r="1045181" s="79" customFormat="1"/>
    <row r="1045182" s="79" customFormat="1"/>
    <row r="1045183" s="79" customFormat="1"/>
    <row r="1045184" s="79" customFormat="1"/>
    <row r="1045185" s="79" customFormat="1"/>
    <row r="1045186" s="79" customFormat="1"/>
    <row r="1045187" s="79" customFormat="1"/>
    <row r="1045188" s="79" customFormat="1"/>
    <row r="1045189" s="79" customFormat="1"/>
    <row r="1045190" s="79" customFormat="1"/>
    <row r="1045191" s="79" customFormat="1"/>
    <row r="1045192" s="79" customFormat="1"/>
    <row r="1045193" s="79" customFormat="1"/>
    <row r="1045194" s="79" customFormat="1"/>
    <row r="1045195" s="79" customFormat="1"/>
    <row r="1045196" s="79" customFormat="1"/>
    <row r="1045197" s="79" customFormat="1"/>
    <row r="1045198" s="79" customFormat="1"/>
    <row r="1045199" s="79" customFormat="1"/>
    <row r="1045200" s="79" customFormat="1"/>
    <row r="1045201" s="79" customFormat="1"/>
    <row r="1045202" s="79" customFormat="1"/>
    <row r="1045203" s="79" customFormat="1"/>
    <row r="1045204" s="79" customFormat="1"/>
    <row r="1045205" s="79" customFormat="1"/>
    <row r="1045206" s="79" customFormat="1"/>
    <row r="1045207" s="79" customFormat="1"/>
    <row r="1045208" s="79" customFormat="1"/>
    <row r="1045209" s="79" customFormat="1"/>
    <row r="1045210" s="79" customFormat="1"/>
    <row r="1045211" s="79" customFormat="1"/>
    <row r="1045212" s="79" customFormat="1"/>
    <row r="1045213" s="79" customFormat="1"/>
    <row r="1045214" s="79" customFormat="1"/>
    <row r="1045215" s="79" customFormat="1"/>
    <row r="1045216" s="79" customFormat="1"/>
    <row r="1045217" s="79" customFormat="1"/>
    <row r="1045218" s="79" customFormat="1"/>
    <row r="1045219" s="79" customFormat="1"/>
    <row r="1045220" s="79" customFormat="1"/>
    <row r="1045221" s="79" customFormat="1"/>
    <row r="1045222" s="79" customFormat="1"/>
    <row r="1045223" s="79" customFormat="1"/>
    <row r="1045224" s="79" customFormat="1"/>
    <row r="1045225" s="79" customFormat="1"/>
    <row r="1045226" s="79" customFormat="1"/>
    <row r="1045227" s="79" customFormat="1"/>
    <row r="1045228" s="79" customFormat="1"/>
    <row r="1045229" s="79" customFormat="1"/>
    <row r="1045230" s="79" customFormat="1"/>
    <row r="1045231" s="79" customFormat="1"/>
    <row r="1045232" s="79" customFormat="1"/>
    <row r="1045233" s="79" customFormat="1"/>
    <row r="1045234" s="79" customFormat="1"/>
    <row r="1045235" s="79" customFormat="1"/>
    <row r="1045236" s="79" customFormat="1"/>
    <row r="1045237" s="79" customFormat="1"/>
    <row r="1045238" s="79" customFormat="1"/>
    <row r="1045239" s="79" customFormat="1"/>
    <row r="1045240" s="79" customFormat="1"/>
    <row r="1045241" s="79" customFormat="1"/>
    <row r="1045242" s="79" customFormat="1"/>
    <row r="1045243" s="79" customFormat="1"/>
    <row r="1045244" s="79" customFormat="1"/>
    <row r="1045245" s="79" customFormat="1"/>
    <row r="1045246" s="79" customFormat="1"/>
    <row r="1045247" s="79" customFormat="1"/>
    <row r="1045248" s="79" customFormat="1"/>
    <row r="1045249" s="79" customFormat="1"/>
    <row r="1045250" s="79" customFormat="1"/>
    <row r="1045251" s="79" customFormat="1"/>
    <row r="1045252" s="79" customFormat="1"/>
    <row r="1045253" s="79" customFormat="1"/>
    <row r="1045254" s="79" customFormat="1"/>
    <row r="1045255" s="79" customFormat="1"/>
    <row r="1045256" s="79" customFormat="1"/>
    <row r="1045257" s="79" customFormat="1"/>
    <row r="1045258" s="79" customFormat="1"/>
    <row r="1045259" s="79" customFormat="1"/>
    <row r="1045260" s="79" customFormat="1"/>
    <row r="1045261" s="79" customFormat="1"/>
    <row r="1045262" s="79" customFormat="1"/>
    <row r="1045263" s="79" customFormat="1"/>
    <row r="1045264" s="79" customFormat="1"/>
    <row r="1045265" s="79" customFormat="1"/>
    <row r="1045266" s="79" customFormat="1"/>
    <row r="1045267" s="79" customFormat="1"/>
    <row r="1045268" s="79" customFormat="1"/>
    <row r="1045269" s="79" customFormat="1"/>
    <row r="1045270" s="79" customFormat="1"/>
    <row r="1045271" s="79" customFormat="1"/>
    <row r="1045272" s="79" customFormat="1"/>
    <row r="1045273" s="79" customFormat="1"/>
    <row r="1045274" s="79" customFormat="1"/>
    <row r="1045275" s="79" customFormat="1"/>
    <row r="1045276" s="79" customFormat="1"/>
    <row r="1045277" s="79" customFormat="1"/>
    <row r="1045278" s="79" customFormat="1"/>
    <row r="1045279" s="79" customFormat="1"/>
    <row r="1045280" s="79" customFormat="1"/>
    <row r="1045281" s="79" customFormat="1"/>
    <row r="1045282" s="79" customFormat="1"/>
    <row r="1045283" s="79" customFormat="1"/>
    <row r="1045284" s="79" customFormat="1"/>
    <row r="1045285" s="79" customFormat="1"/>
    <row r="1045286" s="79" customFormat="1"/>
    <row r="1045287" s="79" customFormat="1"/>
    <row r="1045288" s="79" customFormat="1"/>
    <row r="1045289" s="79" customFormat="1"/>
    <row r="1045290" s="79" customFormat="1"/>
    <row r="1045291" s="79" customFormat="1"/>
    <row r="1045292" s="79" customFormat="1"/>
    <row r="1045293" s="79" customFormat="1"/>
    <row r="1045294" s="79" customFormat="1"/>
    <row r="1045295" s="79" customFormat="1"/>
    <row r="1045296" s="79" customFormat="1"/>
    <row r="1045297" s="79" customFormat="1"/>
    <row r="1045298" s="79" customFormat="1"/>
    <row r="1045299" s="79" customFormat="1"/>
    <row r="1045300" s="79" customFormat="1"/>
    <row r="1045301" s="79" customFormat="1"/>
    <row r="1045302" s="79" customFormat="1"/>
    <row r="1045303" s="79" customFormat="1"/>
    <row r="1045304" s="79" customFormat="1"/>
    <row r="1045305" s="79" customFormat="1"/>
    <row r="1045306" s="79" customFormat="1"/>
    <row r="1045307" s="79" customFormat="1"/>
    <row r="1045308" s="79" customFormat="1"/>
    <row r="1045309" s="79" customFormat="1"/>
    <row r="1045310" s="79" customFormat="1"/>
    <row r="1045311" s="79" customFormat="1"/>
    <row r="1045312" s="79" customFormat="1"/>
    <row r="1045313" s="79" customFormat="1"/>
    <row r="1045314" s="79" customFormat="1"/>
    <row r="1045315" s="79" customFormat="1"/>
    <row r="1045316" s="79" customFormat="1"/>
    <row r="1045317" s="79" customFormat="1"/>
    <row r="1045318" s="79" customFormat="1"/>
    <row r="1045319" s="79" customFormat="1"/>
    <row r="1045320" s="79" customFormat="1"/>
    <row r="1045321" s="79" customFormat="1"/>
    <row r="1045322" s="79" customFormat="1"/>
    <row r="1045323" s="79" customFormat="1"/>
    <row r="1045324" s="79" customFormat="1"/>
    <row r="1045325" s="79" customFormat="1"/>
    <row r="1045326" s="79" customFormat="1"/>
    <row r="1045327" s="79" customFormat="1"/>
    <row r="1045328" s="79" customFormat="1"/>
    <row r="1045329" s="79" customFormat="1"/>
    <row r="1045330" s="79" customFormat="1"/>
    <row r="1045331" s="79" customFormat="1"/>
    <row r="1045332" s="79" customFormat="1"/>
    <row r="1045333" s="79" customFormat="1"/>
    <row r="1045334" s="79" customFormat="1"/>
    <row r="1045335" s="79" customFormat="1"/>
    <row r="1045336" s="79" customFormat="1"/>
    <row r="1045337" s="79" customFormat="1"/>
    <row r="1045338" s="79" customFormat="1"/>
    <row r="1045339" s="79" customFormat="1"/>
    <row r="1045340" s="79" customFormat="1"/>
    <row r="1045341" s="79" customFormat="1"/>
    <row r="1045342" s="79" customFormat="1"/>
    <row r="1045343" s="79" customFormat="1"/>
    <row r="1045344" s="79" customFormat="1"/>
    <row r="1045345" s="79" customFormat="1"/>
    <row r="1045346" s="79" customFormat="1"/>
    <row r="1045347" s="79" customFormat="1"/>
    <row r="1045348" s="79" customFormat="1"/>
    <row r="1045349" s="79" customFormat="1"/>
    <row r="1045350" s="79" customFormat="1"/>
    <row r="1045351" s="79" customFormat="1"/>
    <row r="1045352" s="79" customFormat="1"/>
    <row r="1045353" s="79" customFormat="1"/>
    <row r="1045354" s="79" customFormat="1"/>
    <row r="1045355" s="79" customFormat="1"/>
    <row r="1045356" s="79" customFormat="1"/>
    <row r="1045357" s="79" customFormat="1"/>
    <row r="1045358" s="79" customFormat="1"/>
    <row r="1045359" s="79" customFormat="1"/>
    <row r="1045360" s="79" customFormat="1"/>
    <row r="1045361" s="79" customFormat="1"/>
    <row r="1045362" s="79" customFormat="1"/>
    <row r="1045363" s="79" customFormat="1"/>
    <row r="1045364" s="79" customFormat="1"/>
    <row r="1045365" s="79" customFormat="1"/>
    <row r="1045366" s="79" customFormat="1"/>
    <row r="1045367" s="79" customFormat="1"/>
    <row r="1045368" s="79" customFormat="1"/>
    <row r="1045369" s="79" customFormat="1"/>
    <row r="1045370" s="79" customFormat="1"/>
    <row r="1045371" s="79" customFormat="1"/>
    <row r="1045372" s="79" customFormat="1"/>
    <row r="1045373" s="79" customFormat="1"/>
    <row r="1045374" s="79" customFormat="1"/>
    <row r="1045375" s="79" customFormat="1"/>
    <row r="1045376" s="79" customFormat="1"/>
    <row r="1045377" s="79" customFormat="1"/>
    <row r="1045378" s="79" customFormat="1"/>
    <row r="1045379" s="79" customFormat="1"/>
    <row r="1045380" s="79" customFormat="1"/>
    <row r="1045381" s="79" customFormat="1"/>
    <row r="1045382" s="79" customFormat="1"/>
    <row r="1045383" s="79" customFormat="1"/>
    <row r="1045384" s="79" customFormat="1"/>
    <row r="1045385" s="79" customFormat="1"/>
    <row r="1045386" s="79" customFormat="1"/>
    <row r="1045387" s="79" customFormat="1"/>
    <row r="1045388" s="79" customFormat="1"/>
    <row r="1045389" s="79" customFormat="1"/>
    <row r="1045390" s="79" customFormat="1"/>
    <row r="1045391" s="79" customFormat="1"/>
    <row r="1045392" s="79" customFormat="1"/>
    <row r="1045393" s="79" customFormat="1"/>
    <row r="1045394" s="79" customFormat="1"/>
    <row r="1045395" s="79" customFormat="1"/>
    <row r="1045396" s="79" customFormat="1"/>
    <row r="1045397" s="79" customFormat="1"/>
    <row r="1045398" s="79" customFormat="1"/>
    <row r="1045399" s="79" customFormat="1"/>
    <row r="1045400" s="79" customFormat="1"/>
    <row r="1045401" s="79" customFormat="1"/>
    <row r="1045402" s="79" customFormat="1"/>
    <row r="1045403" s="79" customFormat="1"/>
    <row r="1045404" s="79" customFormat="1"/>
    <row r="1045405" s="79" customFormat="1"/>
    <row r="1045406" s="79" customFormat="1"/>
    <row r="1045407" s="79" customFormat="1"/>
    <row r="1045408" s="79" customFormat="1"/>
    <row r="1045409" s="79" customFormat="1"/>
    <row r="1045410" s="79" customFormat="1"/>
    <row r="1045411" s="79" customFormat="1"/>
    <row r="1045412" s="79" customFormat="1"/>
    <row r="1045413" s="79" customFormat="1"/>
    <row r="1045414" s="79" customFormat="1"/>
    <row r="1045415" s="79" customFormat="1"/>
    <row r="1045416" s="79" customFormat="1"/>
    <row r="1045417" s="79" customFormat="1"/>
    <row r="1045418" s="79" customFormat="1"/>
    <row r="1045419" s="79" customFormat="1"/>
    <row r="1045420" s="79" customFormat="1"/>
    <row r="1045421" s="79" customFormat="1"/>
    <row r="1045422" s="79" customFormat="1"/>
    <row r="1045423" s="79" customFormat="1"/>
    <row r="1045424" s="79" customFormat="1"/>
    <row r="1045425" s="79" customFormat="1"/>
    <row r="1045426" s="79" customFormat="1"/>
    <row r="1045427" s="79" customFormat="1"/>
    <row r="1045428" s="79" customFormat="1"/>
    <row r="1045429" s="79" customFormat="1"/>
    <row r="1045430" s="79" customFormat="1"/>
    <row r="1045431" s="79" customFormat="1"/>
    <row r="1045432" s="79" customFormat="1"/>
    <row r="1045433" s="79" customFormat="1"/>
    <row r="1045434" s="79" customFormat="1"/>
    <row r="1045435" s="79" customFormat="1"/>
    <row r="1045436" s="79" customFormat="1"/>
    <row r="1045437" s="79" customFormat="1"/>
    <row r="1045438" s="79" customFormat="1"/>
    <row r="1045439" s="79" customFormat="1"/>
    <row r="1045440" s="79" customFormat="1"/>
    <row r="1045441" s="79" customFormat="1"/>
    <row r="1045442" s="79" customFormat="1"/>
    <row r="1045443" s="79" customFormat="1"/>
    <row r="1045444" s="79" customFormat="1"/>
    <row r="1045445" s="79" customFormat="1"/>
    <row r="1045446" s="79" customFormat="1"/>
    <row r="1045447" s="79" customFormat="1"/>
    <row r="1045448" s="79" customFormat="1"/>
    <row r="1045449" s="79" customFormat="1"/>
    <row r="1045450" s="79" customFormat="1"/>
    <row r="1045451" s="79" customFormat="1"/>
    <row r="1045452" s="79" customFormat="1"/>
    <row r="1045453" s="79" customFormat="1"/>
    <row r="1045454" s="79" customFormat="1"/>
    <row r="1045455" s="79" customFormat="1"/>
    <row r="1045456" s="79" customFormat="1"/>
    <row r="1045457" s="79" customFormat="1"/>
    <row r="1045458" s="79" customFormat="1"/>
    <row r="1045459" s="79" customFormat="1"/>
    <row r="1045460" s="79" customFormat="1"/>
    <row r="1045461" s="79" customFormat="1"/>
    <row r="1045462" s="79" customFormat="1"/>
    <row r="1045463" s="79" customFormat="1"/>
    <row r="1045464" s="79" customFormat="1"/>
    <row r="1045465" s="79" customFormat="1"/>
    <row r="1045466" s="79" customFormat="1"/>
    <row r="1045467" s="79" customFormat="1"/>
    <row r="1045468" s="79" customFormat="1"/>
    <row r="1045469" s="79" customFormat="1"/>
    <row r="1045470" s="79" customFormat="1"/>
    <row r="1045471" s="79" customFormat="1"/>
    <row r="1045472" s="79" customFormat="1"/>
    <row r="1045473" s="79" customFormat="1"/>
    <row r="1045474" s="79" customFormat="1"/>
    <row r="1045475" s="79" customFormat="1"/>
    <row r="1045476" s="79" customFormat="1"/>
    <row r="1045477" s="79" customFormat="1"/>
    <row r="1045478" s="79" customFormat="1"/>
    <row r="1045479" s="79" customFormat="1"/>
    <row r="1045480" s="79" customFormat="1"/>
    <row r="1045481" s="79" customFormat="1"/>
    <row r="1045482" s="79" customFormat="1"/>
    <row r="1045483" s="79" customFormat="1"/>
    <row r="1045484" s="79" customFormat="1"/>
    <row r="1045485" s="79" customFormat="1"/>
    <row r="1045486" s="79" customFormat="1"/>
    <row r="1045487" s="79" customFormat="1"/>
    <row r="1045488" s="79" customFormat="1"/>
    <row r="1045489" s="79" customFormat="1"/>
    <row r="1045490" s="79" customFormat="1"/>
    <row r="1045491" s="79" customFormat="1"/>
    <row r="1045492" s="79" customFormat="1"/>
    <row r="1045493" s="79" customFormat="1"/>
    <row r="1045494" s="79" customFormat="1"/>
    <row r="1045495" s="79" customFormat="1"/>
    <row r="1045496" s="79" customFormat="1"/>
    <row r="1045497" s="79" customFormat="1"/>
    <row r="1045498" s="79" customFormat="1"/>
    <row r="1045499" s="79" customFormat="1"/>
    <row r="1045500" s="79" customFormat="1"/>
    <row r="1045501" s="79" customFormat="1"/>
    <row r="1045502" s="79" customFormat="1"/>
    <row r="1045503" s="79" customFormat="1"/>
    <row r="1045504" s="79" customFormat="1"/>
    <row r="1045505" s="79" customFormat="1"/>
    <row r="1045506" s="79" customFormat="1"/>
    <row r="1045507" s="79" customFormat="1"/>
    <row r="1045508" s="79" customFormat="1"/>
    <row r="1045509" s="79" customFormat="1"/>
    <row r="1045510" s="79" customFormat="1"/>
    <row r="1045511" s="79" customFormat="1"/>
    <row r="1045512" s="79" customFormat="1"/>
    <row r="1045513" s="79" customFormat="1"/>
    <row r="1045514" s="79" customFormat="1"/>
    <row r="1045515" s="79" customFormat="1"/>
    <row r="1045516" s="79" customFormat="1"/>
    <row r="1045517" s="79" customFormat="1"/>
    <row r="1045518" s="79" customFormat="1"/>
    <row r="1045519" s="79" customFormat="1"/>
    <row r="1045520" s="79" customFormat="1"/>
    <row r="1045521" s="79" customFormat="1"/>
    <row r="1045522" s="79" customFormat="1"/>
    <row r="1045523" s="79" customFormat="1"/>
    <row r="1045524" s="79" customFormat="1"/>
    <row r="1045525" s="79" customFormat="1"/>
    <row r="1045526" s="79" customFormat="1"/>
    <row r="1045527" s="79" customFormat="1"/>
    <row r="1045528" s="79" customFormat="1"/>
    <row r="1045529" s="79" customFormat="1"/>
    <row r="1045530" s="79" customFormat="1"/>
    <row r="1045531" s="79" customFormat="1"/>
    <row r="1045532" s="79" customFormat="1"/>
    <row r="1045533" s="79" customFormat="1"/>
    <row r="1045534" s="79" customFormat="1"/>
    <row r="1045535" s="79" customFormat="1"/>
    <row r="1045536" s="79" customFormat="1"/>
    <row r="1045537" s="79" customFormat="1"/>
    <row r="1045538" s="79" customFormat="1"/>
    <row r="1045539" s="79" customFormat="1"/>
    <row r="1045540" s="79" customFormat="1"/>
    <row r="1045541" s="79" customFormat="1"/>
    <row r="1045542" s="79" customFormat="1"/>
    <row r="1045543" s="79" customFormat="1"/>
    <row r="1045544" s="79" customFormat="1"/>
    <row r="1045545" s="79" customFormat="1"/>
    <row r="1045546" s="79" customFormat="1"/>
    <row r="1045547" s="79" customFormat="1"/>
    <row r="1045548" s="79" customFormat="1"/>
    <row r="1045549" s="79" customFormat="1"/>
    <row r="1045550" s="79" customFormat="1"/>
    <row r="1045551" s="79" customFormat="1"/>
    <row r="1045552" s="79" customFormat="1"/>
    <row r="1045553" s="79" customFormat="1"/>
    <row r="1045554" s="79" customFormat="1"/>
    <row r="1045555" s="79" customFormat="1"/>
    <row r="1045556" s="79" customFormat="1"/>
    <row r="1045557" s="79" customFormat="1"/>
    <row r="1045558" s="79" customFormat="1"/>
    <row r="1045559" s="79" customFormat="1"/>
    <row r="1045560" s="79" customFormat="1"/>
    <row r="1045561" s="79" customFormat="1"/>
    <row r="1045562" s="79" customFormat="1"/>
    <row r="1045563" s="79" customFormat="1"/>
    <row r="1045564" s="79" customFormat="1"/>
    <row r="1045565" s="79" customFormat="1"/>
    <row r="1045566" s="79" customFormat="1"/>
    <row r="1045567" s="79" customFormat="1"/>
    <row r="1045568" s="79" customFormat="1"/>
    <row r="1045569" s="79" customFormat="1"/>
    <row r="1045570" s="79" customFormat="1"/>
    <row r="1045571" s="79" customFormat="1"/>
    <row r="1045572" s="79" customFormat="1"/>
    <row r="1045573" s="79" customFormat="1"/>
    <row r="1045574" s="79" customFormat="1"/>
    <row r="1045575" s="79" customFormat="1"/>
    <row r="1045576" s="79" customFormat="1"/>
    <row r="1045577" s="79" customFormat="1"/>
    <row r="1045578" s="79" customFormat="1"/>
    <row r="1045579" s="79" customFormat="1"/>
    <row r="1045580" s="79" customFormat="1"/>
    <row r="1045581" s="79" customFormat="1"/>
    <row r="1045582" s="79" customFormat="1"/>
    <row r="1045583" s="79" customFormat="1"/>
    <row r="1045584" s="79" customFormat="1"/>
    <row r="1045585" s="79" customFormat="1"/>
    <row r="1045586" s="79" customFormat="1"/>
    <row r="1045587" s="79" customFormat="1"/>
    <row r="1045588" s="79" customFormat="1"/>
    <row r="1045589" s="79" customFormat="1"/>
    <row r="1045590" s="79" customFormat="1"/>
    <row r="1045591" s="79" customFormat="1"/>
    <row r="1045592" s="79" customFormat="1"/>
    <row r="1045593" s="79" customFormat="1"/>
    <row r="1045594" s="79" customFormat="1"/>
    <row r="1045595" s="79" customFormat="1"/>
    <row r="1045596" s="79" customFormat="1"/>
    <row r="1045597" s="79" customFormat="1"/>
    <row r="1045598" s="79" customFormat="1"/>
    <row r="1045599" s="79" customFormat="1"/>
    <row r="1045600" s="79" customFormat="1"/>
    <row r="1045601" s="79" customFormat="1"/>
    <row r="1045602" s="79" customFormat="1"/>
    <row r="1045603" s="79" customFormat="1"/>
    <row r="1045604" s="79" customFormat="1"/>
    <row r="1045605" s="79" customFormat="1"/>
    <row r="1045606" s="79" customFormat="1"/>
    <row r="1045607" s="79" customFormat="1"/>
    <row r="1045608" s="79" customFormat="1"/>
    <row r="1045609" s="79" customFormat="1"/>
    <row r="1045610" s="79" customFormat="1"/>
    <row r="1045611" s="79" customFormat="1"/>
    <row r="1045612" s="79" customFormat="1"/>
    <row r="1045613" s="79" customFormat="1"/>
    <row r="1045614" s="79" customFormat="1"/>
    <row r="1045615" s="79" customFormat="1"/>
    <row r="1045616" s="79" customFormat="1"/>
    <row r="1045617" s="79" customFormat="1"/>
    <row r="1045618" s="79" customFormat="1"/>
    <row r="1045619" s="79" customFormat="1"/>
    <row r="1045620" s="79" customFormat="1"/>
    <row r="1045621" s="79" customFormat="1"/>
    <row r="1045622" s="79" customFormat="1"/>
    <row r="1045623" s="79" customFormat="1"/>
    <row r="1045624" s="79" customFormat="1"/>
    <row r="1045625" s="79" customFormat="1"/>
    <row r="1045626" s="79" customFormat="1"/>
    <row r="1045627" s="79" customFormat="1"/>
    <row r="1045628" s="79" customFormat="1"/>
    <row r="1045629" s="79" customFormat="1"/>
    <row r="1045630" s="79" customFormat="1"/>
    <row r="1045631" s="79" customFormat="1"/>
    <row r="1045632" s="79" customFormat="1"/>
    <row r="1045633" s="79" customFormat="1"/>
    <row r="1045634" s="79" customFormat="1"/>
    <row r="1045635" s="79" customFormat="1"/>
    <row r="1045636" s="79" customFormat="1"/>
    <row r="1045637" s="79" customFormat="1"/>
    <row r="1045638" s="79" customFormat="1"/>
    <row r="1045639" s="79" customFormat="1"/>
    <row r="1045640" s="79" customFormat="1"/>
    <row r="1045641" s="79" customFormat="1"/>
    <row r="1045642" s="79" customFormat="1"/>
    <row r="1045643" s="79" customFormat="1"/>
    <row r="1045644" s="79" customFormat="1"/>
    <row r="1045645" s="79" customFormat="1"/>
    <row r="1045646" s="79" customFormat="1"/>
    <row r="1045647" s="79" customFormat="1"/>
    <row r="1045648" s="79" customFormat="1"/>
    <row r="1045649" s="79" customFormat="1"/>
    <row r="1045650" s="79" customFormat="1"/>
    <row r="1045651" s="79" customFormat="1"/>
    <row r="1045652" s="79" customFormat="1"/>
    <row r="1045653" s="79" customFormat="1"/>
    <row r="1045654" s="79" customFormat="1"/>
    <row r="1045655" s="79" customFormat="1"/>
    <row r="1045656" s="79" customFormat="1"/>
    <row r="1045657" s="79" customFormat="1"/>
    <row r="1045658" s="79" customFormat="1"/>
    <row r="1045659" s="79" customFormat="1"/>
    <row r="1045660" s="79" customFormat="1"/>
    <row r="1045661" s="79" customFormat="1"/>
    <row r="1045662" s="79" customFormat="1"/>
    <row r="1045663" s="79" customFormat="1"/>
    <row r="1045664" s="79" customFormat="1"/>
    <row r="1045665" s="79" customFormat="1"/>
    <row r="1045666" s="79" customFormat="1"/>
    <row r="1045667" s="79" customFormat="1"/>
    <row r="1045668" s="79" customFormat="1"/>
    <row r="1045669" s="79" customFormat="1"/>
    <row r="1045670" s="79" customFormat="1"/>
    <row r="1045671" s="79" customFormat="1"/>
    <row r="1045672" s="79" customFormat="1"/>
    <row r="1045673" s="79" customFormat="1"/>
    <row r="1045674" s="79" customFormat="1"/>
    <row r="1045675" s="79" customFormat="1"/>
    <row r="1045676" s="79" customFormat="1"/>
    <row r="1045677" s="79" customFormat="1"/>
    <row r="1045678" s="79" customFormat="1"/>
    <row r="1045679" s="79" customFormat="1"/>
    <row r="1045680" s="79" customFormat="1"/>
    <row r="1045681" s="79" customFormat="1"/>
    <row r="1045682" s="79" customFormat="1"/>
    <row r="1045683" s="79" customFormat="1"/>
    <row r="1045684" s="79" customFormat="1"/>
    <row r="1045685" s="79" customFormat="1"/>
    <row r="1045686" s="79" customFormat="1"/>
    <row r="1045687" s="79" customFormat="1"/>
    <row r="1045688" s="79" customFormat="1"/>
    <row r="1045689" s="79" customFormat="1"/>
    <row r="1045690" s="79" customFormat="1"/>
    <row r="1045691" s="79" customFormat="1"/>
    <row r="1045692" s="79" customFormat="1"/>
    <row r="1045693" s="79" customFormat="1"/>
    <row r="1045694" s="79" customFormat="1"/>
    <row r="1045695" s="79" customFormat="1"/>
    <row r="1045696" s="79" customFormat="1"/>
    <row r="1045697" s="79" customFormat="1"/>
    <row r="1045698" s="79" customFormat="1"/>
    <row r="1045699" s="79" customFormat="1"/>
    <row r="1045700" s="79" customFormat="1"/>
    <row r="1045701" s="79" customFormat="1"/>
    <row r="1045702" s="79" customFormat="1"/>
    <row r="1045703" s="79" customFormat="1"/>
    <row r="1045704" s="79" customFormat="1"/>
    <row r="1045705" s="79" customFormat="1"/>
    <row r="1045706" s="79" customFormat="1"/>
    <row r="1045707" s="79" customFormat="1"/>
    <row r="1045708" s="79" customFormat="1"/>
    <row r="1045709" s="79" customFormat="1"/>
    <row r="1045710" s="79" customFormat="1"/>
    <row r="1045711" s="79" customFormat="1"/>
    <row r="1045712" s="79" customFormat="1"/>
    <row r="1045713" s="79" customFormat="1"/>
    <row r="1045714" s="79" customFormat="1"/>
    <row r="1045715" s="79" customFormat="1"/>
    <row r="1045716" s="79" customFormat="1"/>
    <row r="1045717" s="79" customFormat="1"/>
    <row r="1045718" s="79" customFormat="1"/>
    <row r="1045719" s="79" customFormat="1"/>
    <row r="1045720" s="79" customFormat="1"/>
    <row r="1045721" s="79" customFormat="1"/>
    <row r="1045722" s="79" customFormat="1"/>
    <row r="1045723" s="79" customFormat="1"/>
    <row r="1045724" s="79" customFormat="1"/>
    <row r="1045725" s="79" customFormat="1"/>
    <row r="1045726" s="79" customFormat="1"/>
    <row r="1045727" s="79" customFormat="1"/>
    <row r="1045728" s="79" customFormat="1"/>
    <row r="1045729" s="79" customFormat="1"/>
    <row r="1045730" s="79" customFormat="1"/>
    <row r="1045731" s="79" customFormat="1"/>
    <row r="1045732" s="79" customFormat="1"/>
    <row r="1045733" s="79" customFormat="1"/>
    <row r="1045734" s="79" customFormat="1"/>
    <row r="1045735" s="79" customFormat="1"/>
    <row r="1045736" s="79" customFormat="1"/>
    <row r="1045737" s="79" customFormat="1"/>
    <row r="1045738" s="79" customFormat="1"/>
    <row r="1045739" s="79" customFormat="1"/>
    <row r="1045740" s="79" customFormat="1"/>
    <row r="1045741" s="79" customFormat="1"/>
    <row r="1045742" s="79" customFormat="1"/>
    <row r="1045743" s="79" customFormat="1"/>
    <row r="1045744" s="79" customFormat="1"/>
    <row r="1045745" s="79" customFormat="1"/>
    <row r="1045746" s="79" customFormat="1"/>
    <row r="1045747" s="79" customFormat="1"/>
    <row r="1045748" s="79" customFormat="1"/>
    <row r="1045749" s="79" customFormat="1"/>
    <row r="1045750" s="79" customFormat="1"/>
    <row r="1045751" s="79" customFormat="1"/>
    <row r="1045752" s="79" customFormat="1"/>
    <row r="1045753" s="79" customFormat="1"/>
    <row r="1045754" s="79" customFormat="1"/>
    <row r="1045755" s="79" customFormat="1"/>
    <row r="1045756" s="79" customFormat="1"/>
    <row r="1045757" s="79" customFormat="1"/>
    <row r="1045758" s="79" customFormat="1"/>
    <row r="1045759" s="79" customFormat="1"/>
    <row r="1045760" s="79" customFormat="1"/>
    <row r="1045761" s="79" customFormat="1"/>
    <row r="1045762" s="79" customFormat="1"/>
    <row r="1045763" s="79" customFormat="1"/>
    <row r="1045764" s="79" customFormat="1"/>
    <row r="1045765" s="79" customFormat="1"/>
    <row r="1045766" s="79" customFormat="1"/>
    <row r="1045767" s="79" customFormat="1"/>
    <row r="1045768" s="79" customFormat="1"/>
    <row r="1045769" s="79" customFormat="1"/>
    <row r="1045770" s="79" customFormat="1"/>
    <row r="1045771" s="79" customFormat="1"/>
    <row r="1045772" s="79" customFormat="1"/>
    <row r="1045773" s="79" customFormat="1"/>
    <row r="1045774" s="79" customFormat="1"/>
    <row r="1045775" s="79" customFormat="1"/>
    <row r="1045776" s="79" customFormat="1"/>
    <row r="1045777" s="79" customFormat="1"/>
    <row r="1045778" s="79" customFormat="1"/>
    <row r="1045779" s="79" customFormat="1"/>
    <row r="1045780" s="79" customFormat="1"/>
    <row r="1045781" s="79" customFormat="1"/>
    <row r="1045782" s="79" customFormat="1"/>
    <row r="1045783" s="79" customFormat="1"/>
    <row r="1045784" s="79" customFormat="1"/>
    <row r="1045785" s="79" customFormat="1"/>
    <row r="1045786" s="79" customFormat="1"/>
    <row r="1045787" s="79" customFormat="1"/>
    <row r="1045788" s="79" customFormat="1"/>
    <row r="1045789" s="79" customFormat="1"/>
    <row r="1045790" s="79" customFormat="1"/>
    <row r="1045791" s="79" customFormat="1"/>
    <row r="1045792" s="79" customFormat="1"/>
    <row r="1045793" s="79" customFormat="1"/>
    <row r="1045794" s="79" customFormat="1"/>
    <row r="1045795" s="79" customFormat="1"/>
    <row r="1045796" s="79" customFormat="1"/>
    <row r="1045797" s="79" customFormat="1"/>
    <row r="1045798" s="79" customFormat="1"/>
    <row r="1045799" s="79" customFormat="1"/>
    <row r="1045800" s="79" customFormat="1"/>
    <row r="1045801" s="79" customFormat="1"/>
    <row r="1045802" s="79" customFormat="1"/>
    <row r="1045803" s="79" customFormat="1"/>
    <row r="1045804" s="79" customFormat="1"/>
    <row r="1045805" s="79" customFormat="1"/>
    <row r="1045806" s="79" customFormat="1"/>
    <row r="1045807" s="79" customFormat="1"/>
    <row r="1045808" s="79" customFormat="1"/>
    <row r="1045809" s="79" customFormat="1"/>
    <row r="1045810" s="79" customFormat="1"/>
    <row r="1045811" s="79" customFormat="1"/>
    <row r="1045812" s="79" customFormat="1"/>
    <row r="1045813" s="79" customFormat="1"/>
    <row r="1045814" s="79" customFormat="1"/>
    <row r="1045815" s="79" customFormat="1"/>
    <row r="1045816" s="79" customFormat="1"/>
    <row r="1045817" s="79" customFormat="1"/>
    <row r="1045818" s="79" customFormat="1"/>
    <row r="1045819" s="79" customFormat="1"/>
    <row r="1045820" s="79" customFormat="1"/>
    <row r="1045821" s="79" customFormat="1"/>
    <row r="1045822" s="79" customFormat="1"/>
    <row r="1045823" s="79" customFormat="1"/>
    <row r="1045824" s="79" customFormat="1"/>
    <row r="1045825" s="79" customFormat="1"/>
    <row r="1045826" s="79" customFormat="1"/>
    <row r="1045827" s="79" customFormat="1"/>
    <row r="1045828" s="79" customFormat="1"/>
    <row r="1045829" s="79" customFormat="1"/>
    <row r="1045830" s="79" customFormat="1"/>
    <row r="1045831" s="79" customFormat="1"/>
    <row r="1045832" s="79" customFormat="1"/>
    <row r="1045833" s="79" customFormat="1"/>
    <row r="1045834" s="79" customFormat="1"/>
    <row r="1045835" s="79" customFormat="1"/>
    <row r="1045836" s="79" customFormat="1"/>
    <row r="1045837" s="79" customFormat="1"/>
    <row r="1045838" s="79" customFormat="1"/>
    <row r="1045839" s="79" customFormat="1"/>
    <row r="1045840" s="79" customFormat="1"/>
    <row r="1045841" s="79" customFormat="1"/>
    <row r="1045842" s="79" customFormat="1"/>
    <row r="1045843" s="79" customFormat="1"/>
    <row r="1045844" s="79" customFormat="1"/>
    <row r="1045845" s="79" customFormat="1"/>
    <row r="1045846" s="79" customFormat="1"/>
    <row r="1045847" s="79" customFormat="1"/>
    <row r="1045848" s="79" customFormat="1"/>
    <row r="1045849" s="79" customFormat="1"/>
    <row r="1045850" s="79" customFormat="1"/>
    <row r="1045851" s="79" customFormat="1"/>
    <row r="1045852" s="79" customFormat="1"/>
    <row r="1045853" s="79" customFormat="1"/>
    <row r="1045854" s="79" customFormat="1"/>
    <row r="1045855" s="79" customFormat="1"/>
    <row r="1045856" s="79" customFormat="1"/>
    <row r="1045857" s="79" customFormat="1"/>
    <row r="1045858" s="79" customFormat="1"/>
    <row r="1045859" s="79" customFormat="1"/>
    <row r="1045860" s="79" customFormat="1"/>
    <row r="1045861" s="79" customFormat="1"/>
    <row r="1045862" s="79" customFormat="1"/>
    <row r="1045863" s="79" customFormat="1"/>
    <row r="1045864" s="79" customFormat="1"/>
    <row r="1045865" s="79" customFormat="1"/>
    <row r="1045866" s="79" customFormat="1"/>
    <row r="1045867" s="79" customFormat="1"/>
    <row r="1045868" s="79" customFormat="1"/>
    <row r="1045869" s="79" customFormat="1"/>
    <row r="1045870" s="79" customFormat="1"/>
    <row r="1045871" s="79" customFormat="1"/>
    <row r="1045872" s="79" customFormat="1"/>
    <row r="1045873" s="79" customFormat="1"/>
    <row r="1045874" s="79" customFormat="1"/>
    <row r="1045875" s="79" customFormat="1"/>
    <row r="1045876" s="79" customFormat="1"/>
    <row r="1045877" s="79" customFormat="1"/>
    <row r="1045878" s="79" customFormat="1"/>
    <row r="1045879" s="79" customFormat="1"/>
    <row r="1045880" s="79" customFormat="1"/>
    <row r="1045881" s="79" customFormat="1"/>
    <row r="1045882" s="79" customFormat="1"/>
    <row r="1045883" s="79" customFormat="1"/>
    <row r="1045884" s="79" customFormat="1"/>
    <row r="1045885" s="79" customFormat="1"/>
    <row r="1045886" s="79" customFormat="1"/>
    <row r="1045887" s="79" customFormat="1"/>
    <row r="1045888" s="79" customFormat="1"/>
    <row r="1045889" s="79" customFormat="1"/>
    <row r="1045890" s="79" customFormat="1"/>
    <row r="1045891" s="79" customFormat="1"/>
    <row r="1045892" s="79" customFormat="1"/>
    <row r="1045893" s="79" customFormat="1"/>
    <row r="1045894" s="79" customFormat="1"/>
    <row r="1045895" s="79" customFormat="1"/>
    <row r="1045896" s="79" customFormat="1"/>
    <row r="1045897" s="79" customFormat="1"/>
    <row r="1045898" s="79" customFormat="1"/>
    <row r="1045899" s="79" customFormat="1"/>
    <row r="1045900" s="79" customFormat="1"/>
    <row r="1045901" s="79" customFormat="1"/>
    <row r="1045902" s="79" customFormat="1"/>
    <row r="1045903" s="79" customFormat="1"/>
    <row r="1045904" s="79" customFormat="1"/>
    <row r="1045905" s="79" customFormat="1"/>
    <row r="1045906" s="79" customFormat="1"/>
    <row r="1045907" s="79" customFormat="1"/>
    <row r="1045908" s="79" customFormat="1"/>
    <row r="1045909" s="79" customFormat="1"/>
    <row r="1045910" s="79" customFormat="1"/>
    <row r="1045911" s="79" customFormat="1"/>
    <row r="1045912" s="79" customFormat="1"/>
    <row r="1045913" s="79" customFormat="1"/>
    <row r="1045914" s="79" customFormat="1"/>
    <row r="1045915" s="79" customFormat="1"/>
    <row r="1045916" s="79" customFormat="1"/>
    <row r="1045917" s="79" customFormat="1"/>
    <row r="1045918" s="79" customFormat="1"/>
    <row r="1045919" s="79" customFormat="1"/>
    <row r="1045920" s="79" customFormat="1"/>
    <row r="1045921" s="79" customFormat="1"/>
    <row r="1045922" s="79" customFormat="1"/>
    <row r="1045923" s="79" customFormat="1"/>
    <row r="1045924" s="79" customFormat="1"/>
    <row r="1045925" s="79" customFormat="1"/>
    <row r="1045926" s="79" customFormat="1"/>
    <row r="1045927" s="79" customFormat="1"/>
    <row r="1045928" s="79" customFormat="1"/>
    <row r="1045929" s="79" customFormat="1"/>
    <row r="1045930" s="79" customFormat="1"/>
    <row r="1045931" s="79" customFormat="1"/>
    <row r="1045932" s="79" customFormat="1"/>
    <row r="1045933" s="79" customFormat="1"/>
    <row r="1045934" s="79" customFormat="1"/>
    <row r="1045935" s="79" customFormat="1"/>
    <row r="1045936" s="79" customFormat="1"/>
    <row r="1045937" s="79" customFormat="1"/>
    <row r="1045938" s="79" customFormat="1"/>
    <row r="1045939" s="79" customFormat="1"/>
    <row r="1045940" s="79" customFormat="1"/>
    <row r="1045941" s="79" customFormat="1"/>
    <row r="1045942" s="79" customFormat="1"/>
    <row r="1045943" s="79" customFormat="1"/>
    <row r="1045944" s="79" customFormat="1"/>
    <row r="1045945" s="79" customFormat="1"/>
    <row r="1045946" s="79" customFormat="1"/>
    <row r="1045947" s="79" customFormat="1"/>
    <row r="1045948" s="79" customFormat="1"/>
    <row r="1045949" s="79" customFormat="1"/>
    <row r="1045950" s="79" customFormat="1"/>
    <row r="1045951" s="79" customFormat="1"/>
    <row r="1045952" s="79" customFormat="1"/>
    <row r="1045953" s="79" customFormat="1"/>
    <row r="1045954" s="79" customFormat="1"/>
    <row r="1045955" s="79" customFormat="1"/>
    <row r="1045956" s="79" customFormat="1"/>
    <row r="1045957" s="79" customFormat="1"/>
    <row r="1045958" s="79" customFormat="1"/>
    <row r="1045959" s="79" customFormat="1"/>
    <row r="1045960" s="79" customFormat="1"/>
    <row r="1045961" s="79" customFormat="1"/>
    <row r="1045962" s="79" customFormat="1"/>
    <row r="1045963" s="79" customFormat="1"/>
    <row r="1045964" s="79" customFormat="1"/>
    <row r="1045965" s="79" customFormat="1"/>
    <row r="1045966" s="79" customFormat="1"/>
    <row r="1045967" s="79" customFormat="1"/>
    <row r="1045968" s="79" customFormat="1"/>
    <row r="1045969" s="79" customFormat="1"/>
    <row r="1045970" s="79" customFormat="1"/>
    <row r="1045971" s="79" customFormat="1"/>
    <row r="1045972" s="79" customFormat="1"/>
    <row r="1045973" s="79" customFormat="1"/>
    <row r="1045974" s="79" customFormat="1"/>
    <row r="1045975" s="79" customFormat="1"/>
    <row r="1045976" s="79" customFormat="1"/>
    <row r="1045977" s="79" customFormat="1"/>
    <row r="1045978" s="79" customFormat="1"/>
    <row r="1045979" s="79" customFormat="1"/>
    <row r="1045980" s="79" customFormat="1"/>
    <row r="1045981" s="79" customFormat="1"/>
    <row r="1045982" s="79" customFormat="1"/>
    <row r="1045983" s="79" customFormat="1"/>
    <row r="1045984" s="79" customFormat="1"/>
    <row r="1045985" s="79" customFormat="1"/>
    <row r="1045986" s="79" customFormat="1"/>
    <row r="1045987" s="79" customFormat="1"/>
    <row r="1045988" s="79" customFormat="1"/>
    <row r="1045989" s="79" customFormat="1"/>
    <row r="1045990" s="79" customFormat="1"/>
    <row r="1045991" s="79" customFormat="1"/>
    <row r="1045992" s="79" customFormat="1"/>
    <row r="1045993" s="79" customFormat="1"/>
    <row r="1045994" s="79" customFormat="1"/>
    <row r="1045995" s="79" customFormat="1"/>
    <row r="1045996" s="79" customFormat="1"/>
    <row r="1045997" s="79" customFormat="1"/>
    <row r="1045998" s="79" customFormat="1"/>
    <row r="1045999" s="79" customFormat="1"/>
    <row r="1046000" s="79" customFormat="1"/>
    <row r="1046001" s="79" customFormat="1"/>
    <row r="1046002" s="79" customFormat="1"/>
    <row r="1046003" s="79" customFormat="1"/>
    <row r="1046004" s="79" customFormat="1"/>
    <row r="1046005" s="79" customFormat="1"/>
    <row r="1046006" s="79" customFormat="1"/>
    <row r="1046007" s="79" customFormat="1"/>
    <row r="1046008" s="79" customFormat="1"/>
    <row r="1046009" s="79" customFormat="1"/>
    <row r="1046010" s="79" customFormat="1"/>
    <row r="1046011" s="79" customFormat="1"/>
    <row r="1046012" s="79" customFormat="1"/>
    <row r="1046013" s="79" customFormat="1"/>
    <row r="1046014" s="79" customFormat="1"/>
    <row r="1046015" s="79" customFormat="1"/>
    <row r="1046016" s="79" customFormat="1"/>
    <row r="1046017" s="79" customFormat="1"/>
    <row r="1046018" s="79" customFormat="1"/>
    <row r="1046019" s="79" customFormat="1"/>
    <row r="1046020" s="79" customFormat="1"/>
    <row r="1046021" s="79" customFormat="1"/>
    <row r="1046022" s="79" customFormat="1"/>
    <row r="1046023" s="79" customFormat="1"/>
    <row r="1046024" s="79" customFormat="1"/>
    <row r="1046025" s="79" customFormat="1"/>
    <row r="1046026" s="79" customFormat="1"/>
    <row r="1046027" s="79" customFormat="1"/>
    <row r="1046028" s="79" customFormat="1"/>
    <row r="1046029" s="79" customFormat="1"/>
    <row r="1046030" s="79" customFormat="1"/>
    <row r="1046031" s="79" customFormat="1"/>
    <row r="1046032" s="79" customFormat="1"/>
    <row r="1046033" s="79" customFormat="1"/>
    <row r="1046034" s="79" customFormat="1"/>
    <row r="1046035" s="79" customFormat="1"/>
    <row r="1046036" s="79" customFormat="1"/>
    <row r="1046037" s="79" customFormat="1"/>
    <row r="1046038" s="79" customFormat="1"/>
    <row r="1046039" s="79" customFormat="1"/>
    <row r="1046040" s="79" customFormat="1"/>
    <row r="1046041" s="79" customFormat="1"/>
    <row r="1046042" s="79" customFormat="1"/>
    <row r="1046043" s="79" customFormat="1"/>
    <row r="1046044" s="79" customFormat="1"/>
    <row r="1046045" s="79" customFormat="1"/>
    <row r="1046046" s="79" customFormat="1"/>
    <row r="1046047" s="79" customFormat="1"/>
    <row r="1046048" s="79" customFormat="1"/>
    <row r="1046049" s="79" customFormat="1"/>
    <row r="1046050" s="79" customFormat="1"/>
    <row r="1046051" s="79" customFormat="1"/>
    <row r="1046052" s="79" customFormat="1"/>
    <row r="1046053" s="79" customFormat="1"/>
    <row r="1046054" s="79" customFormat="1"/>
    <row r="1046055" s="79" customFormat="1"/>
    <row r="1046056" s="79" customFormat="1"/>
    <row r="1046057" s="79" customFormat="1"/>
    <row r="1046058" s="79" customFormat="1"/>
    <row r="1046059" s="79" customFormat="1"/>
    <row r="1046060" s="79" customFormat="1"/>
    <row r="1046061" s="79" customFormat="1"/>
    <row r="1046062" s="79" customFormat="1"/>
    <row r="1046063" s="79" customFormat="1"/>
    <row r="1046064" s="79" customFormat="1"/>
    <row r="1046065" s="79" customFormat="1"/>
    <row r="1046066" s="79" customFormat="1"/>
    <row r="1046067" s="79" customFormat="1"/>
    <row r="1046068" s="79" customFormat="1"/>
    <row r="1046069" s="79" customFormat="1"/>
    <row r="1046070" s="79" customFormat="1"/>
    <row r="1046071" s="79" customFormat="1"/>
    <row r="1046072" s="79" customFormat="1"/>
    <row r="1046073" s="79" customFormat="1"/>
    <row r="1046074" s="79" customFormat="1"/>
    <row r="1046075" s="79" customFormat="1"/>
    <row r="1046076" s="79" customFormat="1"/>
    <row r="1046077" s="79" customFormat="1"/>
    <row r="1046078" s="79" customFormat="1"/>
    <row r="1046079" s="79" customFormat="1"/>
    <row r="1046080" s="79" customFormat="1"/>
    <row r="1046081" s="79" customFormat="1"/>
    <row r="1046082" s="79" customFormat="1"/>
    <row r="1046083" s="79" customFormat="1"/>
    <row r="1046084" s="79" customFormat="1"/>
    <row r="1046085" s="79" customFormat="1"/>
    <row r="1046086" s="79" customFormat="1"/>
    <row r="1046087" s="79" customFormat="1"/>
    <row r="1046088" s="79" customFormat="1"/>
    <row r="1046089" s="79" customFormat="1"/>
    <row r="1046090" s="79" customFormat="1"/>
    <row r="1046091" s="79" customFormat="1"/>
    <row r="1046092" s="79" customFormat="1"/>
    <row r="1046093" s="79" customFormat="1"/>
    <row r="1046094" s="79" customFormat="1"/>
    <row r="1046095" s="79" customFormat="1"/>
    <row r="1046096" s="79" customFormat="1"/>
    <row r="1046097" s="79" customFormat="1"/>
    <row r="1046098" s="79" customFormat="1"/>
    <row r="1046099" s="79" customFormat="1"/>
    <row r="1046100" s="79" customFormat="1"/>
    <row r="1046101" s="79" customFormat="1"/>
    <row r="1046102" s="79" customFormat="1"/>
    <row r="1046103" s="79" customFormat="1"/>
    <row r="1046104" s="79" customFormat="1"/>
    <row r="1046105" s="79" customFormat="1"/>
    <row r="1046106" s="79" customFormat="1"/>
    <row r="1046107" s="79" customFormat="1"/>
    <row r="1046108" s="79" customFormat="1"/>
    <row r="1046109" s="79" customFormat="1"/>
    <row r="1046110" s="79" customFormat="1"/>
    <row r="1046111" s="79" customFormat="1"/>
    <row r="1046112" s="79" customFormat="1"/>
    <row r="1046113" s="79" customFormat="1"/>
    <row r="1046114" s="79" customFormat="1"/>
    <row r="1046115" s="79" customFormat="1"/>
    <row r="1046116" s="79" customFormat="1"/>
    <row r="1046117" s="79" customFormat="1"/>
    <row r="1046118" s="79" customFormat="1"/>
    <row r="1046119" s="79" customFormat="1"/>
    <row r="1046120" s="79" customFormat="1"/>
    <row r="1046121" s="79" customFormat="1"/>
    <row r="1046122" s="79" customFormat="1"/>
    <row r="1046123" s="79" customFormat="1"/>
    <row r="1046124" s="79" customFormat="1"/>
    <row r="1046125" s="79" customFormat="1"/>
    <row r="1046126" s="79" customFormat="1"/>
    <row r="1046127" s="79" customFormat="1"/>
    <row r="1046128" s="79" customFormat="1"/>
    <row r="1046129" s="79" customFormat="1"/>
    <row r="1046130" s="79" customFormat="1"/>
    <row r="1046131" s="79" customFormat="1"/>
    <row r="1046132" s="79" customFormat="1"/>
    <row r="1046133" s="79" customFormat="1"/>
    <row r="1046134" s="79" customFormat="1"/>
    <row r="1046135" s="79" customFormat="1"/>
    <row r="1046136" s="79" customFormat="1"/>
    <row r="1046137" s="79" customFormat="1"/>
    <row r="1046138" s="79" customFormat="1"/>
    <row r="1046139" s="79" customFormat="1"/>
    <row r="1046140" s="79" customFormat="1"/>
    <row r="1046141" s="79" customFormat="1"/>
    <row r="1046142" s="79" customFormat="1"/>
    <row r="1046143" s="79" customFormat="1"/>
    <row r="1046144" s="79" customFormat="1"/>
    <row r="1046145" s="79" customFormat="1"/>
    <row r="1046146" s="79" customFormat="1"/>
    <row r="1046147" s="79" customFormat="1"/>
    <row r="1046148" s="79" customFormat="1"/>
    <row r="1046149" s="79" customFormat="1"/>
    <row r="1046150" s="79" customFormat="1"/>
    <row r="1046151" s="79" customFormat="1"/>
    <row r="1046152" s="79" customFormat="1"/>
    <row r="1046153" s="79" customFormat="1"/>
    <row r="1046154" s="79" customFormat="1"/>
    <row r="1046155" s="79" customFormat="1"/>
    <row r="1046156" s="79" customFormat="1"/>
    <row r="1046157" s="79" customFormat="1"/>
    <row r="1046158" s="79" customFormat="1"/>
    <row r="1046159" s="79" customFormat="1"/>
    <row r="1046160" s="79" customFormat="1"/>
    <row r="1046161" s="79" customFormat="1"/>
    <row r="1046162" s="79" customFormat="1"/>
    <row r="1046163" s="79" customFormat="1"/>
    <row r="1046164" s="79" customFormat="1"/>
    <row r="1046165" s="79" customFormat="1"/>
    <row r="1046166" s="79" customFormat="1"/>
    <row r="1046167" s="79" customFormat="1"/>
    <row r="1046168" s="79" customFormat="1"/>
    <row r="1046169" s="79" customFormat="1"/>
    <row r="1046170" s="79" customFormat="1"/>
    <row r="1046171" s="79" customFormat="1"/>
    <row r="1046172" s="79" customFormat="1"/>
    <row r="1046173" s="79" customFormat="1"/>
    <row r="1046174" s="79" customFormat="1"/>
    <row r="1046175" s="79" customFormat="1"/>
    <row r="1046176" s="79" customFormat="1"/>
    <row r="1046177" s="79" customFormat="1"/>
    <row r="1046178" s="79" customFormat="1"/>
    <row r="1046179" s="79" customFormat="1"/>
    <row r="1046180" s="79" customFormat="1"/>
    <row r="1046181" s="79" customFormat="1"/>
    <row r="1046182" s="79" customFormat="1"/>
    <row r="1046183" s="79" customFormat="1"/>
    <row r="1046184" s="79" customFormat="1"/>
    <row r="1046185" s="79" customFormat="1"/>
    <row r="1046186" s="79" customFormat="1"/>
    <row r="1046187" s="79" customFormat="1"/>
    <row r="1046188" s="79" customFormat="1"/>
    <row r="1046189" s="79" customFormat="1"/>
    <row r="1046190" s="79" customFormat="1"/>
    <row r="1046191" s="79" customFormat="1"/>
    <row r="1046192" s="79" customFormat="1"/>
    <row r="1046193" s="79" customFormat="1"/>
    <row r="1046194" s="79" customFormat="1"/>
    <row r="1046195" s="79" customFormat="1"/>
    <row r="1046196" s="79" customFormat="1"/>
    <row r="1046197" s="79" customFormat="1"/>
    <row r="1046198" s="79" customFormat="1"/>
    <row r="1046199" s="79" customFormat="1"/>
    <row r="1046200" s="79" customFormat="1"/>
    <row r="1046201" s="79" customFormat="1"/>
    <row r="1046202" s="79" customFormat="1"/>
    <row r="1046203" s="79" customFormat="1"/>
    <row r="1046204" s="79" customFormat="1"/>
    <row r="1046205" s="79" customFormat="1"/>
    <row r="1046206" s="79" customFormat="1"/>
    <row r="1046207" s="79" customFormat="1"/>
    <row r="1046208" s="79" customFormat="1"/>
    <row r="1046209" s="79" customFormat="1"/>
    <row r="1046210" s="79" customFormat="1"/>
    <row r="1046211" s="79" customFormat="1"/>
    <row r="1046212" s="79" customFormat="1"/>
    <row r="1046213" s="79" customFormat="1"/>
    <row r="1046214" s="79" customFormat="1"/>
    <row r="1046215" s="79" customFormat="1"/>
    <row r="1046216" s="79" customFormat="1"/>
    <row r="1046217" s="79" customFormat="1"/>
    <row r="1046218" s="79" customFormat="1"/>
    <row r="1046219" s="79" customFormat="1"/>
    <row r="1046220" s="79" customFormat="1"/>
    <row r="1046221" s="79" customFormat="1"/>
    <row r="1046222" s="79" customFormat="1"/>
    <row r="1046223" s="79" customFormat="1"/>
    <row r="1046224" s="79" customFormat="1"/>
    <row r="1046225" s="79" customFormat="1"/>
    <row r="1046226" s="79" customFormat="1"/>
    <row r="1046227" s="79" customFormat="1"/>
    <row r="1046228" s="79" customFormat="1"/>
    <row r="1046229" s="79" customFormat="1"/>
    <row r="1046230" s="79" customFormat="1"/>
    <row r="1046231" s="79" customFormat="1"/>
    <row r="1046232" s="79" customFormat="1"/>
    <row r="1046233" s="79" customFormat="1"/>
    <row r="1046234" s="79" customFormat="1"/>
    <row r="1046235" s="79" customFormat="1"/>
    <row r="1046236" s="79" customFormat="1"/>
    <row r="1046237" s="79" customFormat="1"/>
    <row r="1046238" s="79" customFormat="1"/>
    <row r="1046239" s="79" customFormat="1"/>
    <row r="1046240" s="79" customFormat="1"/>
    <row r="1046241" s="79" customFormat="1"/>
    <row r="1046242" s="79" customFormat="1"/>
    <row r="1046243" s="79" customFormat="1"/>
    <row r="1046244" s="79" customFormat="1"/>
    <row r="1046245" s="79" customFormat="1"/>
    <row r="1046246" s="79" customFormat="1"/>
    <row r="1046247" s="79" customFormat="1"/>
    <row r="1046248" s="79" customFormat="1"/>
    <row r="1046249" s="79" customFormat="1"/>
    <row r="1046250" s="79" customFormat="1"/>
    <row r="1046251" s="79" customFormat="1"/>
    <row r="1046252" s="79" customFormat="1"/>
    <row r="1046253" s="79" customFormat="1"/>
    <row r="1046254" s="79" customFormat="1"/>
    <row r="1046255" s="79" customFormat="1"/>
    <row r="1046256" s="79" customFormat="1"/>
    <row r="1046257" s="79" customFormat="1"/>
    <row r="1046258" s="79" customFormat="1"/>
    <row r="1046259" s="79" customFormat="1"/>
    <row r="1046260" s="79" customFormat="1"/>
    <row r="1046261" s="79" customFormat="1"/>
    <row r="1046262" s="79" customFormat="1"/>
    <row r="1046263" s="79" customFormat="1"/>
    <row r="1046264" s="79" customFormat="1"/>
    <row r="1046265" s="79" customFormat="1"/>
    <row r="1046266" s="79" customFormat="1"/>
    <row r="1046267" s="79" customFormat="1"/>
    <row r="1046268" s="79" customFormat="1"/>
    <row r="1046269" s="79" customFormat="1"/>
    <row r="1046270" s="79" customFormat="1"/>
    <row r="1046271" s="79" customFormat="1"/>
    <row r="1046272" s="79" customFormat="1"/>
    <row r="1046273" s="79" customFormat="1"/>
    <row r="1046274" s="79" customFormat="1"/>
    <row r="1046275" s="79" customFormat="1"/>
    <row r="1046276" s="79" customFormat="1"/>
    <row r="1046277" s="79" customFormat="1"/>
    <row r="1046278" s="79" customFormat="1"/>
    <row r="1046279" s="79" customFormat="1"/>
    <row r="1046280" s="79" customFormat="1"/>
    <row r="1046281" s="79" customFormat="1"/>
    <row r="1046282" s="79" customFormat="1"/>
    <row r="1046283" s="79" customFormat="1"/>
    <row r="1046284" s="79" customFormat="1"/>
    <row r="1046285" s="79" customFormat="1"/>
    <row r="1046286" s="79" customFormat="1"/>
    <row r="1046287" s="79" customFormat="1"/>
    <row r="1046288" s="79" customFormat="1"/>
    <row r="1046289" s="79" customFormat="1"/>
    <row r="1046290" s="79" customFormat="1"/>
    <row r="1046291" s="79" customFormat="1"/>
    <row r="1046292" s="79" customFormat="1"/>
    <row r="1046293" s="79" customFormat="1"/>
    <row r="1046294" s="79" customFormat="1"/>
    <row r="1046295" s="79" customFormat="1"/>
    <row r="1046296" s="79" customFormat="1"/>
    <row r="1046297" s="79" customFormat="1"/>
    <row r="1046298" s="79" customFormat="1"/>
    <row r="1046299" s="79" customFormat="1"/>
    <row r="1046300" s="79" customFormat="1"/>
    <row r="1046301" s="79" customFormat="1"/>
    <row r="1046302" s="79" customFormat="1"/>
    <row r="1046303" s="79" customFormat="1"/>
    <row r="1046304" s="79" customFormat="1"/>
    <row r="1046305" s="79" customFormat="1"/>
    <row r="1046306" s="79" customFormat="1"/>
    <row r="1046307" s="79" customFormat="1"/>
    <row r="1046308" s="79" customFormat="1"/>
    <row r="1046309" s="79" customFormat="1"/>
    <row r="1046310" s="79" customFormat="1"/>
    <row r="1046311" s="79" customFormat="1"/>
    <row r="1046312" s="79" customFormat="1"/>
    <row r="1046313" s="79" customFormat="1"/>
    <row r="1046314" s="79" customFormat="1"/>
    <row r="1046315" s="79" customFormat="1"/>
    <row r="1046316" s="79" customFormat="1"/>
    <row r="1046317" s="79" customFormat="1"/>
    <row r="1046318" s="79" customFormat="1"/>
    <row r="1046319" s="79" customFormat="1"/>
    <row r="1046320" s="79" customFormat="1"/>
    <row r="1046321" s="79" customFormat="1"/>
    <row r="1046322" s="79" customFormat="1"/>
    <row r="1046323" s="79" customFormat="1"/>
    <row r="1046324" s="79" customFormat="1"/>
    <row r="1046325" s="79" customFormat="1"/>
    <row r="1046326" s="79" customFormat="1"/>
    <row r="1046327" s="79" customFormat="1"/>
    <row r="1046328" s="79" customFormat="1"/>
    <row r="1046329" s="79" customFormat="1"/>
    <row r="1046330" s="79" customFormat="1"/>
    <row r="1046331" s="79" customFormat="1"/>
    <row r="1046332" s="79" customFormat="1"/>
    <row r="1046333" s="79" customFormat="1"/>
    <row r="1046334" s="79" customFormat="1"/>
    <row r="1046335" s="79" customFormat="1"/>
    <row r="1046336" s="79" customFormat="1"/>
    <row r="1046337" s="79" customFormat="1"/>
    <row r="1046338" s="79" customFormat="1"/>
    <row r="1046339" s="79" customFormat="1"/>
    <row r="1046340" s="79" customFormat="1"/>
    <row r="1046341" s="79" customFormat="1"/>
    <row r="1046342" s="79" customFormat="1"/>
    <row r="1046343" s="79" customFormat="1"/>
    <row r="1046344" s="79" customFormat="1"/>
    <row r="1046345" s="79" customFormat="1"/>
    <row r="1046346" s="79" customFormat="1"/>
    <row r="1046347" s="79" customFormat="1"/>
    <row r="1046348" s="79" customFormat="1"/>
    <row r="1046349" s="79" customFormat="1"/>
    <row r="1046350" s="79" customFormat="1"/>
    <row r="1046351" s="79" customFormat="1"/>
    <row r="1046352" s="79" customFormat="1"/>
    <row r="1046353" s="79" customFormat="1"/>
    <row r="1046354" s="79" customFormat="1"/>
    <row r="1046355" s="79" customFormat="1"/>
    <row r="1046356" s="79" customFormat="1"/>
    <row r="1046357" s="79" customFormat="1"/>
    <row r="1046358" s="79" customFormat="1"/>
    <row r="1046359" s="79" customFormat="1"/>
    <row r="1046360" s="79" customFormat="1"/>
    <row r="1046361" s="79" customFormat="1"/>
    <row r="1046362" s="79" customFormat="1"/>
    <row r="1046363" s="79" customFormat="1"/>
    <row r="1046364" s="79" customFormat="1"/>
    <row r="1046365" s="79" customFormat="1"/>
    <row r="1046366" s="79" customFormat="1"/>
    <row r="1046367" s="79" customFormat="1"/>
    <row r="1046368" s="79" customFormat="1"/>
    <row r="1046369" s="79" customFormat="1"/>
    <row r="1046370" s="79" customFormat="1"/>
    <row r="1046371" s="79" customFormat="1"/>
    <row r="1046372" s="79" customFormat="1"/>
    <row r="1046373" s="79" customFormat="1"/>
    <row r="1046374" s="79" customFormat="1"/>
    <row r="1046375" s="79" customFormat="1"/>
    <row r="1046376" s="79" customFormat="1"/>
    <row r="1046377" s="79" customFormat="1"/>
    <row r="1046378" s="79" customFormat="1"/>
    <row r="1046379" s="79" customFormat="1"/>
    <row r="1046380" s="79" customFormat="1"/>
    <row r="1046381" s="79" customFormat="1"/>
    <row r="1046382" s="79" customFormat="1"/>
    <row r="1046383" s="79" customFormat="1"/>
    <row r="1046384" s="79" customFormat="1"/>
    <row r="1046385" s="79" customFormat="1"/>
    <row r="1046386" s="79" customFormat="1"/>
    <row r="1046387" s="79" customFormat="1"/>
    <row r="1046388" s="79" customFormat="1"/>
    <row r="1046389" s="79" customFormat="1"/>
    <row r="1046390" s="79" customFormat="1"/>
    <row r="1046391" s="79" customFormat="1"/>
    <row r="1046392" s="79" customFormat="1"/>
    <row r="1046393" s="79" customFormat="1"/>
    <row r="1046394" s="79" customFormat="1"/>
    <row r="1046395" s="79" customFormat="1"/>
    <row r="1046396" s="79" customFormat="1"/>
    <row r="1046397" s="79" customFormat="1"/>
    <row r="1046398" s="79" customFormat="1"/>
    <row r="1046399" s="79" customFormat="1"/>
    <row r="1046400" s="79" customFormat="1"/>
    <row r="1046401" s="79" customFormat="1"/>
    <row r="1046402" s="79" customFormat="1"/>
    <row r="1046403" s="79" customFormat="1"/>
    <row r="1046404" s="79" customFormat="1"/>
    <row r="1046405" s="79" customFormat="1"/>
    <row r="1046406" s="79" customFormat="1"/>
    <row r="1046407" s="79" customFormat="1"/>
    <row r="1046408" s="79" customFormat="1"/>
    <row r="1046409" s="79" customFormat="1"/>
    <row r="1046410" s="79" customFormat="1"/>
    <row r="1046411" s="79" customFormat="1"/>
    <row r="1046412" s="79" customFormat="1"/>
    <row r="1046413" s="79" customFormat="1"/>
    <row r="1046414" s="79" customFormat="1"/>
    <row r="1046415" s="79" customFormat="1"/>
    <row r="1046416" s="79" customFormat="1"/>
    <row r="1046417" s="79" customFormat="1"/>
    <row r="1046418" s="79" customFormat="1"/>
    <row r="1046419" s="79" customFormat="1"/>
    <row r="1046420" s="79" customFormat="1"/>
    <row r="1046421" s="79" customFormat="1"/>
    <row r="1046422" s="79" customFormat="1"/>
    <row r="1046423" s="79" customFormat="1"/>
    <row r="1046424" s="79" customFormat="1"/>
    <row r="1046425" s="79" customFormat="1"/>
    <row r="1046426" s="79" customFormat="1"/>
    <row r="1046427" s="79" customFormat="1"/>
    <row r="1046428" s="79" customFormat="1"/>
    <row r="1046429" s="79" customFormat="1"/>
    <row r="1046430" s="79" customFormat="1"/>
    <row r="1046431" s="79" customFormat="1"/>
    <row r="1046432" s="79" customFormat="1"/>
    <row r="1046433" s="79" customFormat="1"/>
    <row r="1046434" s="79" customFormat="1"/>
    <row r="1046435" s="79" customFormat="1"/>
    <row r="1046436" s="79" customFormat="1"/>
    <row r="1046437" s="79" customFormat="1"/>
    <row r="1046438" s="79" customFormat="1"/>
    <row r="1046439" s="79" customFormat="1"/>
    <row r="1046440" s="79" customFormat="1"/>
    <row r="1046441" s="79" customFormat="1"/>
    <row r="1046442" s="79" customFormat="1"/>
    <row r="1046443" s="79" customFormat="1"/>
    <row r="1046444" s="79" customFormat="1"/>
    <row r="1046445" s="79" customFormat="1"/>
    <row r="1046446" s="79" customFormat="1"/>
    <row r="1046447" s="79" customFormat="1"/>
    <row r="1046448" s="79" customFormat="1"/>
    <row r="1046449" s="79" customFormat="1"/>
    <row r="1046450" s="79" customFormat="1"/>
    <row r="1046451" s="79" customFormat="1"/>
    <row r="1046452" s="79" customFormat="1"/>
    <row r="1046453" s="79" customFormat="1"/>
    <row r="1046454" s="79" customFormat="1"/>
    <row r="1046455" s="79" customFormat="1"/>
    <row r="1046456" s="79" customFormat="1"/>
    <row r="1046457" s="79" customFormat="1"/>
    <row r="1046458" s="79" customFormat="1"/>
    <row r="1046459" s="79" customFormat="1"/>
    <row r="1046460" s="79" customFormat="1"/>
    <row r="1046461" s="79" customFormat="1"/>
    <row r="1046462" s="79" customFormat="1"/>
    <row r="1046463" s="79" customFormat="1"/>
    <row r="1046464" s="79" customFormat="1"/>
    <row r="1046465" s="79" customFormat="1"/>
    <row r="1046466" s="79" customFormat="1"/>
    <row r="1046467" s="79" customFormat="1"/>
    <row r="1046468" s="79" customFormat="1"/>
    <row r="1046469" s="79" customFormat="1"/>
    <row r="1046470" s="79" customFormat="1"/>
    <row r="1046471" s="79" customFormat="1"/>
    <row r="1046472" s="79" customFormat="1"/>
    <row r="1046473" s="79" customFormat="1"/>
    <row r="1046474" s="79" customFormat="1"/>
    <row r="1046475" s="79" customFormat="1"/>
    <row r="1046476" s="79" customFormat="1"/>
    <row r="1046477" s="79" customFormat="1"/>
    <row r="1046478" s="79" customFormat="1"/>
    <row r="1046479" s="79" customFormat="1"/>
    <row r="1046480" s="79" customFormat="1"/>
    <row r="1046481" s="79" customFormat="1"/>
    <row r="1046482" s="79" customFormat="1"/>
    <row r="1046483" s="79" customFormat="1"/>
    <row r="1046484" s="79" customFormat="1"/>
    <row r="1046485" s="79" customFormat="1"/>
    <row r="1046486" s="79" customFormat="1"/>
    <row r="1046487" s="79" customFormat="1"/>
    <row r="1046488" s="79" customFormat="1"/>
    <row r="1046489" s="79" customFormat="1"/>
    <row r="1046490" s="79" customFormat="1"/>
    <row r="1046491" s="79" customFormat="1"/>
    <row r="1046492" s="79" customFormat="1"/>
    <row r="1046493" s="79" customFormat="1"/>
    <row r="1046494" s="79" customFormat="1"/>
    <row r="1046495" s="79" customFormat="1"/>
    <row r="1046496" s="79" customFormat="1"/>
    <row r="1046497" s="79" customFormat="1"/>
    <row r="1046498" s="79" customFormat="1"/>
    <row r="1046499" s="79" customFormat="1"/>
    <row r="1046500" s="79" customFormat="1"/>
    <row r="1046501" s="79" customFormat="1"/>
    <row r="1046502" s="79" customFormat="1"/>
    <row r="1046503" s="79" customFormat="1"/>
    <row r="1046504" s="79" customFormat="1"/>
    <row r="1046505" s="79" customFormat="1"/>
    <row r="1046506" s="79" customFormat="1"/>
    <row r="1046507" s="79" customFormat="1"/>
    <row r="1046508" s="79" customFormat="1"/>
    <row r="1046509" s="79" customFormat="1"/>
    <row r="1046510" s="79" customFormat="1"/>
    <row r="1046511" s="79" customFormat="1"/>
    <row r="1046512" s="79" customFormat="1"/>
    <row r="1046513" s="79" customFormat="1"/>
    <row r="1046514" s="79" customFormat="1"/>
    <row r="1046515" s="79" customFormat="1"/>
    <row r="1046516" s="79" customFormat="1"/>
    <row r="1046517" s="79" customFormat="1"/>
    <row r="1046518" s="79" customFormat="1"/>
    <row r="1046519" s="79" customFormat="1"/>
    <row r="1046520" s="79" customFormat="1"/>
    <row r="1046521" s="79" customFormat="1"/>
    <row r="1046522" s="79" customFormat="1"/>
    <row r="1046523" s="79" customFormat="1"/>
    <row r="1046524" s="79" customFormat="1"/>
    <row r="1046525" s="79" customFormat="1"/>
    <row r="1046526" s="79" customFormat="1"/>
    <row r="1046527" s="79" customFormat="1"/>
    <row r="1046528" s="79" customFormat="1"/>
    <row r="1046529" s="79" customFormat="1"/>
    <row r="1046530" s="79" customFormat="1"/>
    <row r="1046531" s="79" customFormat="1"/>
    <row r="1046532" s="79" customFormat="1"/>
    <row r="1046533" s="79" customFormat="1"/>
    <row r="1046534" s="79" customFormat="1"/>
    <row r="1046535" s="79" customFormat="1"/>
    <row r="1046536" s="79" customFormat="1"/>
    <row r="1046537" s="79" customFormat="1"/>
    <row r="1046538" s="79" customFormat="1"/>
    <row r="1046539" s="79" customFormat="1"/>
    <row r="1046540" s="79" customFormat="1"/>
    <row r="1046541" s="79" customFormat="1"/>
    <row r="1046542" s="79" customFormat="1"/>
    <row r="1046543" s="79" customFormat="1"/>
    <row r="1046544" s="79" customFormat="1"/>
    <row r="1046545" s="79" customFormat="1"/>
    <row r="1046546" s="79" customFormat="1"/>
    <row r="1046547" s="79" customFormat="1"/>
    <row r="1046548" s="79" customFormat="1"/>
    <row r="1046549" s="79" customFormat="1"/>
    <row r="1046550" s="79" customFormat="1"/>
    <row r="1046551" s="79" customFormat="1"/>
    <row r="1046552" s="79" customFormat="1"/>
    <row r="1046553" s="79" customFormat="1"/>
    <row r="1046554" s="79" customFormat="1"/>
    <row r="1046555" s="79" customFormat="1"/>
    <row r="1046556" s="79" customFormat="1"/>
    <row r="1046557" s="79" customFormat="1"/>
    <row r="1046558" s="79" customFormat="1"/>
    <row r="1046559" s="79" customFormat="1"/>
    <row r="1046560" s="79" customFormat="1"/>
    <row r="1046561" s="79" customFormat="1"/>
    <row r="1046562" s="79" customFormat="1"/>
    <row r="1046563" s="79" customFormat="1"/>
    <row r="1046564" s="79" customFormat="1"/>
    <row r="1046565" s="79" customFormat="1"/>
    <row r="1046566" s="79" customFormat="1"/>
    <row r="1046567" s="79" customFormat="1"/>
    <row r="1046568" s="79" customFormat="1"/>
    <row r="1046569" s="79" customFormat="1"/>
    <row r="1046570" s="79" customFormat="1"/>
    <row r="1046571" s="79" customFormat="1"/>
    <row r="1046572" s="79" customFormat="1"/>
    <row r="1046573" s="79" customFormat="1"/>
    <row r="1046574" s="79" customFormat="1"/>
    <row r="1046575" s="79" customFormat="1"/>
    <row r="1046576" s="79" customFormat="1"/>
    <row r="1046577" s="79" customFormat="1"/>
    <row r="1046578" s="79" customFormat="1"/>
    <row r="1046579" s="79" customFormat="1"/>
    <row r="1046580" s="79" customFormat="1"/>
    <row r="1046581" s="79" customFormat="1"/>
    <row r="1046582" s="79" customFormat="1"/>
    <row r="1046583" s="79" customFormat="1"/>
    <row r="1046584" s="79" customFormat="1"/>
    <row r="1046585" s="79" customFormat="1"/>
    <row r="1046586" s="79" customFormat="1"/>
    <row r="1046587" s="79" customFormat="1"/>
    <row r="1046588" s="79" customFormat="1"/>
    <row r="1046589" s="79" customFormat="1"/>
    <row r="1046590" s="79" customFormat="1"/>
    <row r="1046591" s="79" customFormat="1"/>
    <row r="1046592" s="79" customFormat="1"/>
    <row r="1046593" s="79" customFormat="1"/>
    <row r="1046594" s="79" customFormat="1"/>
    <row r="1046595" s="79" customFormat="1"/>
    <row r="1046596" s="79" customFormat="1"/>
    <row r="1046597" s="79" customFormat="1"/>
    <row r="1046598" s="79" customFormat="1"/>
    <row r="1046599" s="79" customFormat="1"/>
    <row r="1046600" s="79" customFormat="1"/>
    <row r="1046601" s="79" customFormat="1"/>
    <row r="1046602" s="79" customFormat="1"/>
    <row r="1046603" s="79" customFormat="1"/>
    <row r="1046604" s="79" customFormat="1"/>
    <row r="1046605" s="79" customFormat="1"/>
    <row r="1046606" s="79" customFormat="1"/>
    <row r="1046607" s="79" customFormat="1"/>
    <row r="1046608" s="79" customFormat="1"/>
    <row r="1046609" s="79" customFormat="1"/>
    <row r="1046610" s="79" customFormat="1"/>
    <row r="1046611" s="79" customFormat="1"/>
    <row r="1046612" s="79" customFormat="1"/>
    <row r="1046613" s="79" customFormat="1"/>
    <row r="1046614" s="79" customFormat="1"/>
    <row r="1046615" s="79" customFormat="1"/>
    <row r="1046616" s="79" customFormat="1"/>
    <row r="1046617" s="79" customFormat="1"/>
    <row r="1046618" s="79" customFormat="1"/>
    <row r="1046619" s="79" customFormat="1"/>
    <row r="1046620" s="79" customFormat="1"/>
    <row r="1046621" s="79" customFormat="1"/>
    <row r="1046622" s="79" customFormat="1"/>
    <row r="1046623" s="79" customFormat="1"/>
    <row r="1046624" s="79" customFormat="1"/>
    <row r="1046625" s="79" customFormat="1"/>
    <row r="1046626" s="79" customFormat="1"/>
    <row r="1046627" s="79" customFormat="1"/>
    <row r="1046628" s="79" customFormat="1"/>
    <row r="1046629" s="79" customFormat="1"/>
    <row r="1046630" s="79" customFormat="1"/>
    <row r="1046631" s="79" customFormat="1"/>
    <row r="1046632" s="79" customFormat="1"/>
    <row r="1046633" s="79" customFormat="1"/>
    <row r="1046634" s="79" customFormat="1"/>
    <row r="1046635" s="79" customFormat="1"/>
    <row r="1046636" s="79" customFormat="1"/>
    <row r="1046637" s="79" customFormat="1"/>
    <row r="1046638" s="79" customFormat="1"/>
    <row r="1046639" s="79" customFormat="1"/>
    <row r="1046640" s="79" customFormat="1"/>
    <row r="1046641" s="79" customFormat="1"/>
    <row r="1046642" s="79" customFormat="1"/>
    <row r="1046643" s="79" customFormat="1"/>
    <row r="1046644" s="79" customFormat="1"/>
    <row r="1046645" s="79" customFormat="1"/>
    <row r="1046646" s="79" customFormat="1"/>
    <row r="1046647" s="79" customFormat="1"/>
    <row r="1046648" s="79" customFormat="1"/>
    <row r="1046649" s="79" customFormat="1"/>
    <row r="1046650" s="79" customFormat="1"/>
    <row r="1046651" s="79" customFormat="1"/>
    <row r="1046652" s="79" customFormat="1"/>
    <row r="1046653" s="79" customFormat="1"/>
    <row r="1046654" s="79" customFormat="1"/>
    <row r="1046655" s="79" customFormat="1"/>
    <row r="1046656" s="79" customFormat="1"/>
    <row r="1046657" s="79" customFormat="1"/>
    <row r="1046658" s="79" customFormat="1"/>
    <row r="1046659" s="79" customFormat="1"/>
    <row r="1046660" s="79" customFormat="1"/>
    <row r="1046661" s="79" customFormat="1"/>
    <row r="1046662" s="79" customFormat="1"/>
    <row r="1046663" s="79" customFormat="1"/>
    <row r="1046664" s="79" customFormat="1"/>
    <row r="1046665" s="79" customFormat="1"/>
    <row r="1046666" s="79" customFormat="1"/>
    <row r="1046667" s="79" customFormat="1"/>
    <row r="1046668" s="79" customFormat="1"/>
    <row r="1046669" s="79" customFormat="1"/>
    <row r="1046670" s="79" customFormat="1"/>
    <row r="1046671" s="79" customFormat="1"/>
    <row r="1046672" s="79" customFormat="1"/>
    <row r="1046673" s="79" customFormat="1"/>
    <row r="1046674" s="79" customFormat="1"/>
    <row r="1046675" s="79" customFormat="1"/>
    <row r="1046676" s="79" customFormat="1"/>
    <row r="1046677" s="79" customFormat="1"/>
    <row r="1046678" s="79" customFormat="1"/>
    <row r="1046679" s="79" customFormat="1"/>
    <row r="1046680" s="79" customFormat="1"/>
    <row r="1046681" s="79" customFormat="1"/>
    <row r="1046682" s="79" customFormat="1"/>
    <row r="1046683" s="79" customFormat="1"/>
    <row r="1046684" s="79" customFormat="1"/>
    <row r="1046685" s="79" customFormat="1"/>
    <row r="1046686" s="79" customFormat="1"/>
    <row r="1046687" s="79" customFormat="1"/>
    <row r="1046688" s="79" customFormat="1"/>
    <row r="1046689" s="79" customFormat="1"/>
    <row r="1046690" s="79" customFormat="1"/>
    <row r="1046691" s="79" customFormat="1"/>
    <row r="1046692" s="79" customFormat="1"/>
    <row r="1046693" s="79" customFormat="1"/>
    <row r="1046694" s="79" customFormat="1"/>
    <row r="1046695" s="79" customFormat="1"/>
    <row r="1046696" s="79" customFormat="1"/>
    <row r="1046697" s="79" customFormat="1"/>
    <row r="1046698" s="79" customFormat="1"/>
    <row r="1046699" s="79" customFormat="1"/>
    <row r="1046700" s="79" customFormat="1"/>
    <row r="1046701" s="79" customFormat="1"/>
    <row r="1046702" s="79" customFormat="1"/>
    <row r="1046703" s="79" customFormat="1"/>
    <row r="1046704" s="79" customFormat="1"/>
    <row r="1046705" s="79" customFormat="1"/>
    <row r="1046706" s="79" customFormat="1"/>
    <row r="1046707" s="79" customFormat="1"/>
    <row r="1046708" s="79" customFormat="1"/>
    <row r="1046709" s="79" customFormat="1"/>
    <row r="1046710" s="79" customFormat="1"/>
    <row r="1046711" s="79" customFormat="1"/>
    <row r="1046712" s="79" customFormat="1"/>
    <row r="1046713" s="79" customFormat="1"/>
    <row r="1046714" s="79" customFormat="1"/>
    <row r="1046715" s="79" customFormat="1"/>
    <row r="1046716" s="79" customFormat="1"/>
    <row r="1046717" s="79" customFormat="1"/>
    <row r="1046718" s="79" customFormat="1"/>
    <row r="1046719" s="79" customFormat="1"/>
    <row r="1046720" s="79" customFormat="1"/>
    <row r="1046721" s="79" customFormat="1"/>
    <row r="1046722" s="79" customFormat="1"/>
    <row r="1046723" s="79" customFormat="1"/>
    <row r="1046724" s="79" customFormat="1"/>
    <row r="1046725" s="79" customFormat="1"/>
    <row r="1046726" s="79" customFormat="1"/>
    <row r="1046727" s="79" customFormat="1"/>
    <row r="1046728" s="79" customFormat="1"/>
    <row r="1046729" s="79" customFormat="1"/>
    <row r="1046730" s="79" customFormat="1"/>
    <row r="1046731" s="79" customFormat="1"/>
    <row r="1046732" s="79" customFormat="1"/>
    <row r="1046733" s="79" customFormat="1"/>
    <row r="1046734" s="79" customFormat="1"/>
    <row r="1046735" s="79" customFormat="1"/>
    <row r="1046736" s="79" customFormat="1"/>
    <row r="1046737" s="79" customFormat="1"/>
    <row r="1046738" s="79" customFormat="1"/>
    <row r="1046739" s="79" customFormat="1"/>
    <row r="1046740" s="79" customFormat="1"/>
    <row r="1046741" s="79" customFormat="1"/>
    <row r="1046742" s="79" customFormat="1"/>
    <row r="1046743" s="79" customFormat="1"/>
    <row r="1046744" s="79" customFormat="1"/>
    <row r="1046745" s="79" customFormat="1"/>
    <row r="1046746" s="79" customFormat="1"/>
    <row r="1046747" s="79" customFormat="1"/>
    <row r="1046748" s="79" customFormat="1"/>
    <row r="1046749" s="79" customFormat="1"/>
    <row r="1046750" s="79" customFormat="1"/>
    <row r="1046751" s="79" customFormat="1"/>
    <row r="1046752" s="79" customFormat="1"/>
    <row r="1046753" s="79" customFormat="1"/>
    <row r="1046754" s="79" customFormat="1"/>
    <row r="1046755" s="79" customFormat="1"/>
    <row r="1046756" s="79" customFormat="1"/>
    <row r="1046757" s="79" customFormat="1"/>
    <row r="1046758" s="79" customFormat="1"/>
    <row r="1046759" s="79" customFormat="1"/>
    <row r="1046760" s="79" customFormat="1"/>
    <row r="1046761" s="79" customFormat="1"/>
    <row r="1046762" s="79" customFormat="1"/>
    <row r="1046763" s="79" customFormat="1"/>
    <row r="1046764" s="79" customFormat="1"/>
    <row r="1046765" s="79" customFormat="1"/>
    <row r="1046766" s="79" customFormat="1"/>
    <row r="1046767" s="79" customFormat="1"/>
    <row r="1046768" s="79" customFormat="1"/>
    <row r="1046769" s="79" customFormat="1"/>
    <row r="1046770" s="79" customFormat="1"/>
    <row r="1046771" s="79" customFormat="1"/>
    <row r="1046772" s="79" customFormat="1"/>
    <row r="1046773" s="79" customFormat="1"/>
    <row r="1046774" s="79" customFormat="1"/>
    <row r="1046775" s="79" customFormat="1"/>
    <row r="1046776" s="79" customFormat="1"/>
    <row r="1046777" s="79" customFormat="1"/>
    <row r="1046778" s="79" customFormat="1"/>
    <row r="1046779" s="79" customFormat="1"/>
    <row r="1046780" s="79" customFormat="1"/>
    <row r="1046781" s="79" customFormat="1"/>
    <row r="1046782" s="79" customFormat="1"/>
    <row r="1046783" s="79" customFormat="1"/>
    <row r="1046784" s="79" customFormat="1"/>
    <row r="1046785" s="79" customFormat="1"/>
    <row r="1046786" s="79" customFormat="1"/>
    <row r="1046787" s="79" customFormat="1"/>
    <row r="1046788" s="79" customFormat="1"/>
    <row r="1046789" s="79" customFormat="1"/>
    <row r="1046790" s="79" customFormat="1"/>
    <row r="1046791" s="79" customFormat="1"/>
    <row r="1046792" s="79" customFormat="1"/>
    <row r="1046793" s="79" customFormat="1"/>
    <row r="1046794" s="79" customFormat="1"/>
    <row r="1046795" s="79" customFormat="1"/>
    <row r="1046796" s="79" customFormat="1"/>
    <row r="1046797" s="79" customFormat="1"/>
    <row r="1046798" s="79" customFormat="1"/>
    <row r="1046799" s="79" customFormat="1"/>
    <row r="1046800" s="79" customFormat="1"/>
    <row r="1046801" s="79" customFormat="1"/>
    <row r="1046802" s="79" customFormat="1"/>
    <row r="1046803" s="79" customFormat="1"/>
    <row r="1046804" s="79" customFormat="1"/>
    <row r="1046805" s="79" customFormat="1"/>
    <row r="1046806" s="79" customFormat="1"/>
    <row r="1046807" s="79" customFormat="1"/>
    <row r="1046808" s="79" customFormat="1"/>
    <row r="1046809" s="79" customFormat="1"/>
    <row r="1046810" s="79" customFormat="1"/>
    <row r="1046811" s="79" customFormat="1"/>
    <row r="1046812" s="79" customFormat="1"/>
    <row r="1046813" s="79" customFormat="1"/>
    <row r="1046814" s="79" customFormat="1"/>
    <row r="1046815" s="79" customFormat="1"/>
    <row r="1046816" s="79" customFormat="1"/>
    <row r="1046817" s="79" customFormat="1"/>
    <row r="1046818" s="79" customFormat="1"/>
    <row r="1046819" s="79" customFormat="1"/>
    <row r="1046820" s="79" customFormat="1"/>
    <row r="1046821" s="79" customFormat="1"/>
    <row r="1046822" s="79" customFormat="1"/>
    <row r="1046823" s="79" customFormat="1"/>
    <row r="1046824" s="79" customFormat="1"/>
    <row r="1046825" s="79" customFormat="1"/>
    <row r="1046826" s="79" customFormat="1"/>
    <row r="1046827" s="79" customFormat="1"/>
    <row r="1046828" s="79" customFormat="1"/>
    <row r="1046829" s="79" customFormat="1"/>
    <row r="1046830" s="79" customFormat="1"/>
    <row r="1046831" s="79" customFormat="1"/>
    <row r="1046832" s="79" customFormat="1"/>
    <row r="1046833" s="79" customFormat="1"/>
    <row r="1046834" s="79" customFormat="1"/>
    <row r="1046835" s="79" customFormat="1"/>
    <row r="1046836" s="79" customFormat="1"/>
    <row r="1046837" s="79" customFormat="1"/>
    <row r="1046838" s="79" customFormat="1"/>
    <row r="1046839" s="79" customFormat="1"/>
    <row r="1046840" s="79" customFormat="1"/>
    <row r="1046841" s="79" customFormat="1"/>
    <row r="1046842" s="79" customFormat="1"/>
    <row r="1046843" s="79" customFormat="1"/>
    <row r="1046844" s="79" customFormat="1"/>
    <row r="1046845" s="79" customFormat="1"/>
    <row r="1046846" s="79" customFormat="1"/>
    <row r="1046847" s="79" customFormat="1"/>
    <row r="1046848" s="79" customFormat="1"/>
    <row r="1046849" s="79" customFormat="1"/>
    <row r="1046850" s="79" customFormat="1"/>
    <row r="1046851" s="79" customFormat="1"/>
    <row r="1046852" s="79" customFormat="1"/>
    <row r="1046853" s="79" customFormat="1"/>
    <row r="1046854" s="79" customFormat="1"/>
    <row r="1046855" s="79" customFormat="1"/>
    <row r="1046856" s="79" customFormat="1"/>
    <row r="1046857" s="79" customFormat="1"/>
    <row r="1046858" s="79" customFormat="1"/>
    <row r="1046859" s="79" customFormat="1"/>
    <row r="1046860" s="79" customFormat="1"/>
    <row r="1046861" s="79" customFormat="1"/>
    <row r="1046862" s="79" customFormat="1"/>
    <row r="1046863" s="79" customFormat="1"/>
    <row r="1046864" s="79" customFormat="1"/>
    <row r="1046865" s="79" customFormat="1"/>
    <row r="1046866" s="79" customFormat="1"/>
    <row r="1046867" s="79" customFormat="1"/>
    <row r="1046868" s="79" customFormat="1"/>
    <row r="1046869" s="79" customFormat="1"/>
    <row r="1046870" s="79" customFormat="1"/>
    <row r="1046871" s="79" customFormat="1"/>
    <row r="1046872" s="79" customFormat="1"/>
    <row r="1046873" s="79" customFormat="1"/>
    <row r="1046874" s="79" customFormat="1"/>
    <row r="1046875" s="79" customFormat="1"/>
    <row r="1046876" s="79" customFormat="1"/>
    <row r="1046877" s="79" customFormat="1"/>
    <row r="1046878" s="79" customFormat="1"/>
    <row r="1046879" s="79" customFormat="1"/>
    <row r="1046880" s="79" customFormat="1"/>
    <row r="1046881" s="79" customFormat="1"/>
    <row r="1046882" s="79" customFormat="1"/>
    <row r="1046883" s="79" customFormat="1"/>
    <row r="1046884" s="79" customFormat="1"/>
    <row r="1046885" s="79" customFormat="1"/>
    <row r="1046886" s="79" customFormat="1"/>
    <row r="1046887" s="79" customFormat="1"/>
    <row r="1046888" s="79" customFormat="1"/>
    <row r="1046889" s="79" customFormat="1"/>
    <row r="1046890" s="79" customFormat="1"/>
    <row r="1046891" s="79" customFormat="1"/>
    <row r="1046892" s="79" customFormat="1"/>
    <row r="1046893" s="79" customFormat="1"/>
    <row r="1046894" s="79" customFormat="1"/>
    <row r="1046895" s="79" customFormat="1"/>
    <row r="1046896" s="79" customFormat="1"/>
    <row r="1046897" s="79" customFormat="1"/>
    <row r="1046898" s="79" customFormat="1"/>
    <row r="1046899" s="79" customFormat="1"/>
    <row r="1046900" s="79" customFormat="1"/>
    <row r="1046901" s="79" customFormat="1"/>
    <row r="1046902" s="79" customFormat="1"/>
    <row r="1046903" s="79" customFormat="1"/>
    <row r="1046904" s="79" customFormat="1"/>
    <row r="1046905" s="79" customFormat="1"/>
    <row r="1046906" s="79" customFormat="1"/>
    <row r="1046907" s="79" customFormat="1"/>
    <row r="1046908" s="79" customFormat="1"/>
    <row r="1046909" s="79" customFormat="1"/>
    <row r="1046910" s="79" customFormat="1"/>
    <row r="1046911" s="79" customFormat="1"/>
    <row r="1046912" s="79" customFormat="1"/>
    <row r="1046913" s="79" customFormat="1"/>
    <row r="1046914" s="79" customFormat="1"/>
    <row r="1046915" s="79" customFormat="1"/>
    <row r="1046916" s="79" customFormat="1"/>
    <row r="1046917" s="79" customFormat="1"/>
    <row r="1046918" s="79" customFormat="1"/>
    <row r="1046919" s="79" customFormat="1"/>
    <row r="1046920" s="79" customFormat="1"/>
    <row r="1046921" s="79" customFormat="1"/>
    <row r="1046922" s="79" customFormat="1"/>
    <row r="1046923" s="79" customFormat="1"/>
    <row r="1046924" s="79" customFormat="1"/>
    <row r="1046925" s="79" customFormat="1"/>
    <row r="1046926" s="79" customFormat="1"/>
    <row r="1046927" s="79" customFormat="1"/>
    <row r="1046928" s="79" customFormat="1"/>
    <row r="1046929" s="79" customFormat="1"/>
    <row r="1046930" s="79" customFormat="1"/>
    <row r="1046931" s="79" customFormat="1"/>
    <row r="1046932" s="79" customFormat="1"/>
    <row r="1046933" s="79" customFormat="1"/>
    <row r="1046934" s="79" customFormat="1"/>
    <row r="1046935" s="79" customFormat="1"/>
    <row r="1046936" s="79" customFormat="1"/>
    <row r="1046937" s="79" customFormat="1"/>
    <row r="1046938" s="79" customFormat="1"/>
    <row r="1046939" s="79" customFormat="1"/>
    <row r="1046940" s="79" customFormat="1"/>
    <row r="1046941" s="79" customFormat="1"/>
    <row r="1046942" s="79" customFormat="1"/>
    <row r="1046943" s="79" customFormat="1"/>
    <row r="1046944" s="79" customFormat="1"/>
    <row r="1046945" s="79" customFormat="1"/>
    <row r="1046946" s="79" customFormat="1"/>
    <row r="1046947" s="79" customFormat="1"/>
    <row r="1046948" s="79" customFormat="1"/>
    <row r="1046949" s="79" customFormat="1"/>
    <row r="1046950" s="79" customFormat="1"/>
    <row r="1046951" s="79" customFormat="1"/>
    <row r="1046952" s="79" customFormat="1"/>
    <row r="1046953" s="79" customFormat="1"/>
    <row r="1046954" s="79" customFormat="1"/>
    <row r="1046955" s="79" customFormat="1"/>
    <row r="1046956" s="79" customFormat="1"/>
    <row r="1046957" s="79" customFormat="1"/>
    <row r="1046958" s="79" customFormat="1"/>
    <row r="1046959" s="79" customFormat="1"/>
    <row r="1046960" s="79" customFormat="1"/>
    <row r="1046961" s="79" customFormat="1"/>
    <row r="1046962" s="79" customFormat="1"/>
    <row r="1046963" s="79" customFormat="1"/>
    <row r="1046964" s="79" customFormat="1"/>
    <row r="1046965" s="79" customFormat="1"/>
    <row r="1046966" s="79" customFormat="1"/>
    <row r="1046967" s="79" customFormat="1"/>
    <row r="1046968" s="79" customFormat="1"/>
    <row r="1046969" s="79" customFormat="1"/>
    <row r="1046970" s="79" customFormat="1"/>
    <row r="1046971" s="79" customFormat="1"/>
    <row r="1046972" s="79" customFormat="1"/>
    <row r="1046973" s="79" customFormat="1"/>
    <row r="1046974" s="79" customFormat="1"/>
    <row r="1046975" s="79" customFormat="1"/>
    <row r="1046976" s="79" customFormat="1"/>
    <row r="1046977" s="79" customFormat="1"/>
    <row r="1046978" s="79" customFormat="1"/>
    <row r="1046979" s="79" customFormat="1"/>
    <row r="1046980" s="79" customFormat="1"/>
    <row r="1046981" s="79" customFormat="1"/>
    <row r="1046982" s="79" customFormat="1"/>
    <row r="1046983" s="79" customFormat="1"/>
    <row r="1046984" s="79" customFormat="1"/>
    <row r="1046985" s="79" customFormat="1"/>
    <row r="1046986" s="79" customFormat="1"/>
    <row r="1046987" s="79" customFormat="1"/>
    <row r="1046988" s="79" customFormat="1"/>
    <row r="1046989" s="79" customFormat="1"/>
    <row r="1046990" s="79" customFormat="1"/>
    <row r="1046991" s="79" customFormat="1"/>
    <row r="1046992" s="79" customFormat="1"/>
    <row r="1046993" s="79" customFormat="1"/>
    <row r="1046994" s="79" customFormat="1"/>
    <row r="1046995" s="79" customFormat="1"/>
    <row r="1046996" s="79" customFormat="1"/>
    <row r="1046997" s="79" customFormat="1"/>
    <row r="1046998" s="79" customFormat="1"/>
    <row r="1046999" s="79" customFormat="1"/>
    <row r="1047000" s="79" customFormat="1"/>
    <row r="1047001" s="79" customFormat="1"/>
    <row r="1047002" s="79" customFormat="1"/>
    <row r="1047003" s="79" customFormat="1"/>
    <row r="1047004" s="79" customFormat="1"/>
    <row r="1047005" s="79" customFormat="1"/>
    <row r="1047006" s="79" customFormat="1"/>
    <row r="1047007" s="79" customFormat="1"/>
    <row r="1047008" s="79" customFormat="1"/>
    <row r="1047009" s="79" customFormat="1"/>
    <row r="1047010" s="79" customFormat="1"/>
    <row r="1047011" s="79" customFormat="1"/>
    <row r="1047012" s="79" customFormat="1"/>
    <row r="1047013" s="79" customFormat="1"/>
    <row r="1047014" s="79" customFormat="1"/>
    <row r="1047015" s="79" customFormat="1"/>
    <row r="1047016" s="79" customFormat="1"/>
    <row r="1047017" s="79" customFormat="1"/>
    <row r="1047018" s="79" customFormat="1"/>
    <row r="1047019" s="79" customFormat="1"/>
    <row r="1047020" s="79" customFormat="1"/>
    <row r="1047021" s="79" customFormat="1"/>
    <row r="1047022" s="79" customFormat="1"/>
    <row r="1047023" s="79" customFormat="1"/>
    <row r="1047024" s="79" customFormat="1"/>
    <row r="1047025" s="79" customFormat="1"/>
    <row r="1047026" s="79" customFormat="1"/>
    <row r="1047027" s="79" customFormat="1"/>
    <row r="1047028" s="79" customFormat="1"/>
    <row r="1047029" s="79" customFormat="1"/>
    <row r="1047030" s="79" customFormat="1"/>
    <row r="1047031" s="79" customFormat="1"/>
    <row r="1047032" s="79" customFormat="1"/>
    <row r="1047033" s="79" customFormat="1"/>
    <row r="1047034" s="79" customFormat="1"/>
    <row r="1047035" s="79" customFormat="1"/>
    <row r="1047036" s="79" customFormat="1"/>
    <row r="1047037" s="79" customFormat="1"/>
    <row r="1047038" s="79" customFormat="1"/>
    <row r="1047039" s="79" customFormat="1"/>
    <row r="1047040" s="79" customFormat="1"/>
    <row r="1047041" s="79" customFormat="1"/>
    <row r="1047042" s="79" customFormat="1"/>
    <row r="1047043" s="79" customFormat="1"/>
    <row r="1047044" s="79" customFormat="1"/>
    <row r="1047045" s="79" customFormat="1"/>
    <row r="1047046" s="79" customFormat="1"/>
    <row r="1047047" s="79" customFormat="1"/>
    <row r="1047048" s="79" customFormat="1"/>
    <row r="1047049" s="79" customFormat="1"/>
    <row r="1047050" s="79" customFormat="1"/>
    <row r="1047051" s="79" customFormat="1"/>
    <row r="1047052" s="79" customFormat="1"/>
    <row r="1047053" s="79" customFormat="1"/>
    <row r="1047054" s="79" customFormat="1"/>
    <row r="1047055" s="79" customFormat="1"/>
    <row r="1047056" s="79" customFormat="1"/>
    <row r="1047057" s="79" customFormat="1"/>
    <row r="1047058" s="79" customFormat="1"/>
    <row r="1047059" s="79" customFormat="1"/>
    <row r="1047060" s="79" customFormat="1"/>
    <row r="1047061" s="79" customFormat="1"/>
    <row r="1047062" s="79" customFormat="1"/>
    <row r="1047063" s="79" customFormat="1"/>
    <row r="1047064" s="79" customFormat="1"/>
    <row r="1047065" s="79" customFormat="1"/>
    <row r="1047066" s="79" customFormat="1"/>
    <row r="1047067" s="79" customFormat="1"/>
    <row r="1047068" s="79" customFormat="1"/>
    <row r="1047069" s="79" customFormat="1"/>
    <row r="1047070" s="79" customFormat="1"/>
    <row r="1047071" s="79" customFormat="1"/>
    <row r="1047072" s="79" customFormat="1"/>
    <row r="1047073" s="79" customFormat="1"/>
    <row r="1047074" s="79" customFormat="1"/>
    <row r="1047075" s="79" customFormat="1"/>
    <row r="1047076" s="79" customFormat="1"/>
    <row r="1047077" s="79" customFormat="1"/>
    <row r="1047078" s="79" customFormat="1"/>
    <row r="1047079" s="79" customFormat="1"/>
    <row r="1047080" s="79" customFormat="1"/>
    <row r="1047081" s="79" customFormat="1"/>
    <row r="1047082" s="79" customFormat="1"/>
    <row r="1047083" s="79" customFormat="1"/>
    <row r="1047084" s="79" customFormat="1"/>
    <row r="1047085" s="79" customFormat="1"/>
    <row r="1047086" s="79" customFormat="1"/>
    <row r="1047087" s="79" customFormat="1"/>
    <row r="1047088" s="79" customFormat="1"/>
    <row r="1047089" s="79" customFormat="1"/>
    <row r="1047090" s="79" customFormat="1"/>
    <row r="1047091" s="79" customFormat="1"/>
    <row r="1047092" s="79" customFormat="1"/>
    <row r="1047093" s="79" customFormat="1"/>
    <row r="1047094" s="79" customFormat="1"/>
    <row r="1047095" s="79" customFormat="1"/>
    <row r="1047096" s="79" customFormat="1"/>
    <row r="1047097" s="79" customFormat="1"/>
    <row r="1047098" s="79" customFormat="1"/>
    <row r="1047099" s="79" customFormat="1"/>
    <row r="1047100" s="79" customFormat="1"/>
    <row r="1047101" s="79" customFormat="1"/>
    <row r="1047102" s="79" customFormat="1"/>
    <row r="1047103" s="79" customFormat="1"/>
    <row r="1047104" s="79" customFormat="1"/>
    <row r="1047105" s="79" customFormat="1"/>
    <row r="1047106" s="79" customFormat="1"/>
    <row r="1047107" s="79" customFormat="1"/>
    <row r="1047108" s="79" customFormat="1"/>
    <row r="1047109" s="79" customFormat="1"/>
    <row r="1047110" s="79" customFormat="1"/>
    <row r="1047111" s="79" customFormat="1"/>
    <row r="1047112" s="79" customFormat="1"/>
    <row r="1047113" s="79" customFormat="1"/>
    <row r="1047114" s="79" customFormat="1"/>
    <row r="1047115" s="79" customFormat="1"/>
    <row r="1047116" s="79" customFormat="1"/>
    <row r="1047117" s="79" customFormat="1"/>
    <row r="1047118" s="79" customFormat="1"/>
    <row r="1047119" s="79" customFormat="1"/>
    <row r="1047120" s="79" customFormat="1"/>
    <row r="1047121" s="79" customFormat="1"/>
    <row r="1047122" s="79" customFormat="1"/>
    <row r="1047123" s="79" customFormat="1"/>
    <row r="1047124" s="79" customFormat="1"/>
    <row r="1047125" s="79" customFormat="1"/>
    <row r="1047126" s="79" customFormat="1"/>
    <row r="1047127" s="79" customFormat="1"/>
    <row r="1047128" s="79" customFormat="1"/>
    <row r="1047129" s="79" customFormat="1"/>
    <row r="1047130" s="79" customFormat="1"/>
    <row r="1047131" s="79" customFormat="1"/>
    <row r="1047132" s="79" customFormat="1"/>
    <row r="1047133" s="79" customFormat="1"/>
    <row r="1047134" s="79" customFormat="1"/>
    <row r="1047135" s="79" customFormat="1"/>
    <row r="1047136" s="79" customFormat="1"/>
    <row r="1047137" s="79" customFormat="1"/>
    <row r="1047138" s="79" customFormat="1"/>
    <row r="1047139" s="79" customFormat="1"/>
    <row r="1047140" s="79" customFormat="1"/>
    <row r="1047141" s="79" customFormat="1"/>
    <row r="1047142" s="79" customFormat="1"/>
    <row r="1047143" s="79" customFormat="1"/>
    <row r="1047144" s="79" customFormat="1"/>
    <row r="1047145" s="79" customFormat="1"/>
    <row r="1047146" s="79" customFormat="1"/>
    <row r="1047147" s="79" customFormat="1"/>
    <row r="1047148" s="79" customFormat="1"/>
    <row r="1047149" s="79" customFormat="1"/>
    <row r="1047150" s="79" customFormat="1"/>
    <row r="1047151" s="79" customFormat="1"/>
    <row r="1047152" s="79" customFormat="1"/>
    <row r="1047153" s="79" customFormat="1"/>
    <row r="1047154" s="79" customFormat="1"/>
    <row r="1047155" s="79" customFormat="1"/>
    <row r="1047156" s="79" customFormat="1"/>
    <row r="1047157" s="79" customFormat="1"/>
    <row r="1047158" s="79" customFormat="1"/>
    <row r="1047159" s="79" customFormat="1"/>
    <row r="1047160" s="79" customFormat="1"/>
    <row r="1047161" s="79" customFormat="1"/>
    <row r="1047162" s="79" customFormat="1"/>
    <row r="1047163" s="79" customFormat="1"/>
    <row r="1047164" s="79" customFormat="1"/>
    <row r="1047165" s="79" customFormat="1"/>
    <row r="1047166" s="79" customFormat="1"/>
    <row r="1047167" s="79" customFormat="1"/>
    <row r="1047168" s="79" customFormat="1"/>
    <row r="1047169" s="79" customFormat="1"/>
    <row r="1047170" s="79" customFormat="1"/>
    <row r="1047171" s="79" customFormat="1"/>
    <row r="1047172" s="79" customFormat="1"/>
    <row r="1047173" s="79" customFormat="1"/>
    <row r="1047174" s="79" customFormat="1"/>
    <row r="1047175" s="79" customFormat="1"/>
    <row r="1047176" s="79" customFormat="1"/>
    <row r="1047177" s="79" customFormat="1"/>
    <row r="1047178" s="79" customFormat="1"/>
    <row r="1047179" s="79" customFormat="1"/>
    <row r="1047180" s="79" customFormat="1"/>
    <row r="1047181" s="79" customFormat="1"/>
    <row r="1047182" s="79" customFormat="1"/>
    <row r="1047183" s="79" customFormat="1"/>
    <row r="1047184" s="79" customFormat="1"/>
    <row r="1047185" s="79" customFormat="1"/>
    <row r="1047186" s="79" customFormat="1"/>
    <row r="1047187" s="79" customFormat="1"/>
    <row r="1047188" s="79" customFormat="1"/>
    <row r="1047189" s="79" customFormat="1"/>
    <row r="1047190" s="79" customFormat="1"/>
    <row r="1047191" s="79" customFormat="1"/>
    <row r="1047192" s="79" customFormat="1"/>
    <row r="1047193" s="79" customFormat="1"/>
    <row r="1047194" s="79" customFormat="1"/>
    <row r="1047195" s="79" customFormat="1"/>
    <row r="1047196" s="79" customFormat="1"/>
    <row r="1047197" s="79" customFormat="1"/>
    <row r="1047198" s="79" customFormat="1"/>
    <row r="1047199" s="79" customFormat="1"/>
    <row r="1047200" s="79" customFormat="1"/>
    <row r="1047201" s="79" customFormat="1"/>
    <row r="1047202" s="79" customFormat="1"/>
    <row r="1047203" s="79" customFormat="1"/>
    <row r="1047204" s="79" customFormat="1"/>
    <row r="1047205" s="79" customFormat="1"/>
    <row r="1047206" s="79" customFormat="1"/>
    <row r="1047207" s="79" customFormat="1"/>
    <row r="1047208" s="79" customFormat="1"/>
    <row r="1047209" s="79" customFormat="1"/>
    <row r="1047210" s="79" customFormat="1"/>
    <row r="1047211" s="79" customFormat="1"/>
    <row r="1047212" s="79" customFormat="1"/>
    <row r="1047213" s="79" customFormat="1"/>
    <row r="1047214" s="79" customFormat="1"/>
    <row r="1047215" s="79" customFormat="1"/>
    <row r="1047216" s="79" customFormat="1"/>
    <row r="1047217" s="79" customFormat="1"/>
    <row r="1047218" s="79" customFormat="1"/>
    <row r="1047219" s="79" customFormat="1"/>
    <row r="1047220" s="79" customFormat="1"/>
    <row r="1047221" s="79" customFormat="1"/>
    <row r="1047222" s="79" customFormat="1"/>
    <row r="1047223" s="79" customFormat="1"/>
    <row r="1047224" s="79" customFormat="1"/>
    <row r="1047225" s="79" customFormat="1"/>
    <row r="1047226" s="79" customFormat="1"/>
    <row r="1047227" s="79" customFormat="1"/>
    <row r="1047228" s="79" customFormat="1"/>
    <row r="1047229" s="79" customFormat="1"/>
    <row r="1047230" s="79" customFormat="1"/>
    <row r="1047231" s="79" customFormat="1"/>
    <row r="1047232" s="79" customFormat="1"/>
    <row r="1047233" s="79" customFormat="1"/>
    <row r="1047234" s="79" customFormat="1"/>
    <row r="1047235" s="79" customFormat="1"/>
    <row r="1047236" s="79" customFormat="1"/>
    <row r="1047237" s="79" customFormat="1"/>
    <row r="1047238" s="79" customFormat="1"/>
    <row r="1047239" s="79" customFormat="1"/>
    <row r="1047240" s="79" customFormat="1"/>
    <row r="1047241" s="79" customFormat="1"/>
    <row r="1047242" s="79" customFormat="1"/>
    <row r="1047243" s="79" customFormat="1"/>
    <row r="1047244" s="79" customFormat="1"/>
    <row r="1047245" s="79" customFormat="1"/>
    <row r="1047246" s="79" customFormat="1"/>
    <row r="1047247" s="79" customFormat="1"/>
    <row r="1047248" s="79" customFormat="1"/>
    <row r="1047249" s="79" customFormat="1"/>
    <row r="1047250" s="79" customFormat="1"/>
    <row r="1047251" s="79" customFormat="1"/>
    <row r="1047252" s="79" customFormat="1"/>
    <row r="1047253" s="79" customFormat="1"/>
    <row r="1047254" s="79" customFormat="1"/>
    <row r="1047255" s="79" customFormat="1"/>
    <row r="1047256" s="79" customFormat="1"/>
    <row r="1047257" s="79" customFormat="1"/>
    <row r="1047258" s="79" customFormat="1"/>
    <row r="1047259" s="79" customFormat="1"/>
    <row r="1047260" s="79" customFormat="1"/>
    <row r="1047261" s="79" customFormat="1"/>
    <row r="1047262" s="79" customFormat="1"/>
    <row r="1047263" s="79" customFormat="1"/>
    <row r="1047264" s="79" customFormat="1"/>
    <row r="1047265" s="79" customFormat="1"/>
    <row r="1047266" s="79" customFormat="1"/>
    <row r="1047267" s="79" customFormat="1"/>
    <row r="1047268" s="79" customFormat="1"/>
    <row r="1047269" s="79" customFormat="1"/>
    <row r="1047270" s="79" customFormat="1"/>
    <row r="1047271" s="79" customFormat="1"/>
    <row r="1047272" s="79" customFormat="1"/>
    <row r="1047273" s="79" customFormat="1"/>
    <row r="1047274" s="79" customFormat="1"/>
    <row r="1047275" s="79" customFormat="1"/>
    <row r="1047276" s="79" customFormat="1"/>
    <row r="1047277" s="79" customFormat="1"/>
    <row r="1047278" s="79" customFormat="1"/>
    <row r="1047279" s="79" customFormat="1"/>
    <row r="1047280" s="79" customFormat="1"/>
    <row r="1047281" s="79" customFormat="1"/>
    <row r="1047282" s="79" customFormat="1"/>
    <row r="1047283" s="79" customFormat="1"/>
    <row r="1047284" s="79" customFormat="1"/>
    <row r="1047285" s="79" customFormat="1"/>
    <row r="1047286" s="79" customFormat="1"/>
    <row r="1047287" s="79" customFormat="1"/>
    <row r="1047288" s="79" customFormat="1"/>
    <row r="1047289" s="79" customFormat="1"/>
    <row r="1047290" s="79" customFormat="1"/>
    <row r="1047291" s="79" customFormat="1"/>
    <row r="1047292" s="79" customFormat="1"/>
    <row r="1047293" s="79" customFormat="1"/>
    <row r="1047294" s="79" customFormat="1"/>
    <row r="1047295" s="79" customFormat="1"/>
    <row r="1047296" s="79" customFormat="1"/>
    <row r="1047297" s="79" customFormat="1"/>
    <row r="1047298" s="79" customFormat="1"/>
    <row r="1047299" s="79" customFormat="1"/>
    <row r="1047300" s="79" customFormat="1"/>
    <row r="1047301" s="79" customFormat="1"/>
    <row r="1047302" s="79" customFormat="1"/>
    <row r="1047303" s="79" customFormat="1"/>
    <row r="1047304" s="79" customFormat="1"/>
    <row r="1047305" s="79" customFormat="1"/>
    <row r="1047306" s="79" customFormat="1"/>
    <row r="1047307" s="79" customFormat="1"/>
    <row r="1047308" s="79" customFormat="1"/>
    <row r="1047309" s="79" customFormat="1"/>
    <row r="1047310" s="79" customFormat="1"/>
    <row r="1047311" s="79" customFormat="1"/>
    <row r="1047312" s="79" customFormat="1"/>
    <row r="1047313" s="79" customFormat="1"/>
    <row r="1047314" s="79" customFormat="1"/>
    <row r="1047315" s="79" customFormat="1"/>
    <row r="1047316" s="79" customFormat="1"/>
    <row r="1047317" s="79" customFormat="1"/>
    <row r="1047318" s="79" customFormat="1"/>
    <row r="1047319" s="79" customFormat="1"/>
    <row r="1047320" s="79" customFormat="1"/>
    <row r="1047321" s="79" customFormat="1"/>
    <row r="1047322" s="79" customFormat="1"/>
    <row r="1047323" s="79" customFormat="1"/>
    <row r="1047324" s="79" customFormat="1"/>
    <row r="1047325" s="79" customFormat="1"/>
    <row r="1047326" s="79" customFormat="1"/>
    <row r="1047327" s="79" customFormat="1"/>
    <row r="1047328" s="79" customFormat="1"/>
    <row r="1047329" s="79" customFormat="1"/>
    <row r="1047330" s="79" customFormat="1"/>
    <row r="1047331" s="79" customFormat="1"/>
    <row r="1047332" s="79" customFormat="1"/>
    <row r="1047333" s="79" customFormat="1"/>
    <row r="1047334" s="79" customFormat="1"/>
    <row r="1047335" s="79" customFormat="1"/>
    <row r="1047336" s="79" customFormat="1"/>
    <row r="1047337" s="79" customFormat="1"/>
    <row r="1047338" s="79" customFormat="1"/>
    <row r="1047339" s="79" customFormat="1"/>
    <row r="1047340" s="79" customFormat="1"/>
    <row r="1047341" s="79" customFormat="1"/>
    <row r="1047342" s="79" customFormat="1"/>
    <row r="1047343" s="79" customFormat="1"/>
    <row r="1047344" s="79" customFormat="1"/>
    <row r="1047345" s="79" customFormat="1"/>
    <row r="1047346" s="79" customFormat="1"/>
    <row r="1047347" s="79" customFormat="1"/>
    <row r="1047348" s="79" customFormat="1"/>
    <row r="1047349" s="79" customFormat="1"/>
    <row r="1047350" s="79" customFormat="1"/>
    <row r="1047351" s="79" customFormat="1"/>
    <row r="1047352" s="79" customFormat="1"/>
    <row r="1047353" s="79" customFormat="1"/>
    <row r="1047354" s="79" customFormat="1"/>
    <row r="1047355" s="79" customFormat="1"/>
    <row r="1047356" s="79" customFormat="1"/>
    <row r="1047357" s="79" customFormat="1"/>
    <row r="1047358" s="79" customFormat="1"/>
    <row r="1047359" s="79" customFormat="1"/>
    <row r="1047360" s="79" customFormat="1"/>
    <row r="1047361" s="79" customFormat="1"/>
    <row r="1047362" s="79" customFormat="1"/>
    <row r="1047363" s="79" customFormat="1"/>
    <row r="1047364" s="79" customFormat="1"/>
    <row r="1047365" s="79" customFormat="1"/>
    <row r="1047366" s="79" customFormat="1"/>
    <row r="1047367" s="79" customFormat="1"/>
    <row r="1047368" s="79" customFormat="1"/>
    <row r="1047369" s="79" customFormat="1"/>
    <row r="1047370" s="79" customFormat="1"/>
    <row r="1047371" s="79" customFormat="1"/>
    <row r="1047372" s="79" customFormat="1"/>
    <row r="1047373" s="79" customFormat="1"/>
    <row r="1047374" s="79" customFormat="1"/>
    <row r="1047375" s="79" customFormat="1"/>
    <row r="1047376" s="79" customFormat="1"/>
    <row r="1047377" s="79" customFormat="1"/>
    <row r="1047378" s="79" customFormat="1"/>
    <row r="1047379" s="79" customFormat="1"/>
    <row r="1047380" s="79" customFormat="1"/>
    <row r="1047381" s="79" customFormat="1"/>
    <row r="1047382" s="79" customFormat="1"/>
    <row r="1047383" s="79" customFormat="1"/>
    <row r="1047384" s="79" customFormat="1"/>
    <row r="1047385" s="79" customFormat="1"/>
    <row r="1047386" s="79" customFormat="1"/>
    <row r="1047387" s="79" customFormat="1"/>
    <row r="1047388" s="79" customFormat="1"/>
    <row r="1047389" s="79" customFormat="1"/>
    <row r="1047390" s="79" customFormat="1"/>
    <row r="1047391" s="79" customFormat="1"/>
    <row r="1047392" s="79" customFormat="1"/>
    <row r="1047393" s="79" customFormat="1"/>
    <row r="1047394" s="79" customFormat="1"/>
    <row r="1047395" s="79" customFormat="1"/>
    <row r="1047396" s="79" customFormat="1"/>
    <row r="1047397" s="79" customFormat="1"/>
    <row r="1047398" s="79" customFormat="1"/>
    <row r="1047399" s="79" customFormat="1"/>
    <row r="1047400" s="79" customFormat="1"/>
    <row r="1047401" s="79" customFormat="1"/>
    <row r="1047402" s="79" customFormat="1"/>
    <row r="1047403" s="79" customFormat="1"/>
    <row r="1047404" s="79" customFormat="1"/>
    <row r="1047405" s="79" customFormat="1"/>
    <row r="1047406" s="79" customFormat="1"/>
    <row r="1047407" s="79" customFormat="1"/>
    <row r="1047408" s="79" customFormat="1"/>
    <row r="1047409" s="79" customFormat="1"/>
    <row r="1047410" s="79" customFormat="1"/>
    <row r="1047411" s="79" customFormat="1"/>
    <row r="1047412" s="79" customFormat="1"/>
    <row r="1047413" s="79" customFormat="1"/>
    <row r="1047414" s="79" customFormat="1"/>
    <row r="1047415" s="79" customFormat="1"/>
    <row r="1047416" s="79" customFormat="1"/>
    <row r="1047417" s="79" customFormat="1"/>
    <row r="1047418" s="79" customFormat="1"/>
    <row r="1047419" s="79" customFormat="1"/>
    <row r="1047420" s="79" customFormat="1"/>
    <row r="1047421" s="79" customFormat="1"/>
    <row r="1047422" s="79" customFormat="1"/>
    <row r="1047423" s="79" customFormat="1"/>
    <row r="1047424" s="79" customFormat="1"/>
    <row r="1047425" s="79" customFormat="1"/>
    <row r="1047426" s="79" customFormat="1"/>
    <row r="1047427" s="79" customFormat="1"/>
    <row r="1047428" s="79" customFormat="1"/>
    <row r="1047429" s="79" customFormat="1"/>
    <row r="1047430" s="79" customFormat="1"/>
    <row r="1047431" s="79" customFormat="1"/>
    <row r="1047432" s="79" customFormat="1"/>
    <row r="1047433" s="79" customFormat="1"/>
    <row r="1047434" s="79" customFormat="1"/>
    <row r="1047435" s="79" customFormat="1"/>
    <row r="1047436" s="79" customFormat="1"/>
    <row r="1047437" s="79" customFormat="1"/>
    <row r="1047438" s="79" customFormat="1"/>
    <row r="1047439" s="79" customFormat="1"/>
    <row r="1047440" s="79" customFormat="1"/>
    <row r="1047441" s="79" customFormat="1"/>
    <row r="1047442" s="79" customFormat="1"/>
    <row r="1047443" s="79" customFormat="1"/>
    <row r="1047444" s="79" customFormat="1"/>
    <row r="1047445" s="79" customFormat="1"/>
    <row r="1047446" s="79" customFormat="1"/>
    <row r="1047447" s="79" customFormat="1"/>
    <row r="1047448" s="79" customFormat="1"/>
    <row r="1047449" s="79" customFormat="1"/>
    <row r="1047450" s="79" customFormat="1"/>
    <row r="1047451" s="79" customFormat="1"/>
    <row r="1047452" s="79" customFormat="1"/>
    <row r="1047453" s="79" customFormat="1"/>
    <row r="1047454" s="79" customFormat="1"/>
    <row r="1047455" s="79" customFormat="1"/>
    <row r="1047456" s="79" customFormat="1"/>
    <row r="1047457" s="79" customFormat="1"/>
    <row r="1047458" s="79" customFormat="1"/>
    <row r="1047459" s="79" customFormat="1"/>
    <row r="1047460" s="79" customFormat="1"/>
    <row r="1047461" s="79" customFormat="1"/>
    <row r="1047462" s="79" customFormat="1"/>
    <row r="1047463" s="79" customFormat="1"/>
    <row r="1047464" s="79" customFormat="1"/>
    <row r="1047465" s="79" customFormat="1"/>
    <row r="1047466" s="79" customFormat="1"/>
    <row r="1047467" s="79" customFormat="1"/>
    <row r="1047468" s="79" customFormat="1"/>
    <row r="1047469" s="79" customFormat="1"/>
    <row r="1047470" s="79" customFormat="1"/>
    <row r="1047471" s="79" customFormat="1"/>
    <row r="1047472" s="79" customFormat="1"/>
    <row r="1047473" s="79" customFormat="1"/>
    <row r="1047474" s="79" customFormat="1"/>
    <row r="1047475" s="79" customFormat="1"/>
    <row r="1047476" s="79" customFormat="1"/>
    <row r="1047477" s="79" customFormat="1"/>
    <row r="1047478" s="79" customFormat="1"/>
    <row r="1047479" s="79" customFormat="1"/>
    <row r="1047480" s="79" customFormat="1"/>
    <row r="1047481" s="79" customFormat="1"/>
    <row r="1047482" s="79" customFormat="1"/>
    <row r="1047483" s="79" customFormat="1"/>
    <row r="1047484" s="79" customFormat="1"/>
    <row r="1047485" s="79" customFormat="1"/>
    <row r="1047486" s="79" customFormat="1"/>
    <row r="1047487" s="79" customFormat="1"/>
    <row r="1047488" s="79" customFormat="1"/>
    <row r="1047489" s="79" customFormat="1"/>
    <row r="1047490" s="79" customFormat="1"/>
    <row r="1047491" s="79" customFormat="1"/>
    <row r="1047492" s="79" customFormat="1"/>
    <row r="1047493" s="79" customFormat="1"/>
    <row r="1047494" s="79" customFormat="1"/>
    <row r="1047495" s="79" customFormat="1"/>
    <row r="1047496" s="79" customFormat="1"/>
    <row r="1047497" s="79" customFormat="1"/>
    <row r="1047498" s="79" customFormat="1"/>
    <row r="1047499" s="79" customFormat="1"/>
    <row r="1047500" s="79" customFormat="1"/>
    <row r="1047501" s="79" customFormat="1"/>
    <row r="1047502" s="79" customFormat="1"/>
    <row r="1047503" s="79" customFormat="1"/>
    <row r="1047504" s="79" customFormat="1"/>
    <row r="1047505" s="79" customFormat="1"/>
    <row r="1047506" s="79" customFormat="1"/>
    <row r="1047507" s="79" customFormat="1"/>
    <row r="1047508" s="79" customFormat="1"/>
    <row r="1047509" s="79" customFormat="1"/>
    <row r="1047510" s="79" customFormat="1"/>
    <row r="1047511" s="79" customFormat="1"/>
    <row r="1047512" s="79" customFormat="1"/>
    <row r="1047513" s="79" customFormat="1"/>
    <row r="1047514" s="79" customFormat="1"/>
    <row r="1047515" s="79" customFormat="1"/>
    <row r="1047516" s="79" customFormat="1"/>
    <row r="1047517" s="79" customFormat="1"/>
    <row r="1047518" s="79" customFormat="1"/>
    <row r="1047519" s="79" customFormat="1"/>
    <row r="1047520" s="79" customFormat="1"/>
    <row r="1047521" s="79" customFormat="1"/>
    <row r="1047522" s="79" customFormat="1"/>
    <row r="1047523" s="79" customFormat="1"/>
    <row r="1047524" s="79" customFormat="1"/>
    <row r="1047525" s="79" customFormat="1"/>
    <row r="1047526" s="79" customFormat="1"/>
    <row r="1047527" s="79" customFormat="1"/>
    <row r="1047528" s="79" customFormat="1"/>
    <row r="1047529" s="79" customFormat="1"/>
    <row r="1047530" s="79" customFormat="1"/>
    <row r="1047531" s="79" customFormat="1"/>
    <row r="1047532" s="79" customFormat="1"/>
    <row r="1047533" s="79" customFormat="1"/>
    <row r="1047534" s="79" customFormat="1"/>
    <row r="1047535" s="79" customFormat="1"/>
    <row r="1047536" s="79" customFormat="1"/>
    <row r="1047537" s="79" customFormat="1"/>
    <row r="1047538" s="79" customFormat="1"/>
    <row r="1047539" s="79" customFormat="1"/>
    <row r="1047540" s="79" customFormat="1"/>
    <row r="1047541" s="79" customFormat="1"/>
    <row r="1047542" s="79" customFormat="1"/>
    <row r="1047543" s="79" customFormat="1"/>
    <row r="1047544" s="79" customFormat="1"/>
    <row r="1047545" s="79" customFormat="1"/>
    <row r="1047546" s="79" customFormat="1"/>
    <row r="1047547" s="79" customFormat="1"/>
    <row r="1047548" s="79" customFormat="1"/>
    <row r="1047549" s="79" customFormat="1"/>
    <row r="1047550" s="79" customFormat="1"/>
    <row r="1047551" s="79" customFormat="1"/>
    <row r="1047552" s="79" customFormat="1"/>
    <row r="1047553" s="79" customFormat="1"/>
    <row r="1047554" s="79" customFormat="1"/>
    <row r="1047555" s="79" customFormat="1"/>
    <row r="1047556" s="79" customFormat="1"/>
    <row r="1047557" s="79" customFormat="1"/>
    <row r="1047558" s="79" customFormat="1"/>
    <row r="1047559" s="79" customFormat="1"/>
    <row r="1047560" s="79" customFormat="1"/>
    <row r="1047561" s="79" customFormat="1"/>
    <row r="1047562" s="79" customFormat="1"/>
    <row r="1047563" s="79" customFormat="1"/>
    <row r="1047564" s="79" customFormat="1"/>
    <row r="1047565" s="79" customFormat="1"/>
    <row r="1047566" s="79" customFormat="1"/>
    <row r="1047567" s="79" customFormat="1"/>
    <row r="1047568" s="79" customFormat="1"/>
    <row r="1047569" s="79" customFormat="1"/>
    <row r="1047570" s="79" customFormat="1"/>
    <row r="1047571" s="79" customFormat="1"/>
    <row r="1047572" s="79" customFormat="1"/>
    <row r="1047573" s="79" customFormat="1"/>
    <row r="1047574" s="79" customFormat="1"/>
    <row r="1047575" s="79" customFormat="1"/>
    <row r="1047576" s="79" customFormat="1"/>
    <row r="1047577" s="79" customFormat="1"/>
    <row r="1047578" s="79" customFormat="1"/>
    <row r="1047579" s="79" customFormat="1"/>
    <row r="1047580" s="79" customFormat="1"/>
    <row r="1047581" s="79" customFormat="1"/>
    <row r="1047582" s="79" customFormat="1"/>
    <row r="1047583" s="79" customFormat="1"/>
    <row r="1047584" s="79" customFormat="1"/>
    <row r="1047585" s="79" customFormat="1"/>
    <row r="1047586" s="79" customFormat="1"/>
    <row r="1047587" s="79" customFormat="1"/>
    <row r="1047588" s="79" customFormat="1"/>
    <row r="1047589" s="79" customFormat="1"/>
    <row r="1047590" s="79" customFormat="1"/>
    <row r="1047591" s="79" customFormat="1"/>
    <row r="1047592" s="79" customFormat="1"/>
    <row r="1047593" s="79" customFormat="1"/>
    <row r="1047594" s="79" customFormat="1"/>
    <row r="1047595" s="79" customFormat="1"/>
    <row r="1047596" s="79" customFormat="1"/>
    <row r="1047597" s="79" customFormat="1"/>
    <row r="1047598" s="79" customFormat="1"/>
    <row r="1047599" s="79" customFormat="1"/>
    <row r="1047600" s="79" customFormat="1"/>
    <row r="1047601" s="79" customFormat="1"/>
    <row r="1047602" s="79" customFormat="1"/>
    <row r="1047603" s="79" customFormat="1"/>
    <row r="1047604" s="79" customFormat="1"/>
    <row r="1047605" s="79" customFormat="1"/>
    <row r="1047606" s="79" customFormat="1"/>
    <row r="1047607" s="79" customFormat="1"/>
    <row r="1047608" s="79" customFormat="1"/>
    <row r="1047609" s="79" customFormat="1"/>
    <row r="1047610" s="79" customFormat="1"/>
    <row r="1047611" s="79" customFormat="1"/>
    <row r="1047612" s="79" customFormat="1"/>
    <row r="1047613" s="79" customFormat="1"/>
    <row r="1047614" s="79" customFormat="1"/>
    <row r="1047615" s="79" customFormat="1"/>
    <row r="1047616" s="79" customFormat="1"/>
    <row r="1047617" s="79" customFormat="1"/>
    <row r="1047618" s="79" customFormat="1"/>
    <row r="1047619" s="79" customFormat="1"/>
    <row r="1047620" s="79" customFormat="1"/>
    <row r="1047621" s="79" customFormat="1"/>
    <row r="1047622" s="79" customFormat="1"/>
    <row r="1047623" s="79" customFormat="1"/>
    <row r="1047624" s="79" customFormat="1"/>
    <row r="1047625" s="79" customFormat="1"/>
    <row r="1047626" s="79" customFormat="1"/>
    <row r="1047627" s="79" customFormat="1"/>
    <row r="1047628" s="79" customFormat="1"/>
    <row r="1047629" s="79" customFormat="1"/>
    <row r="1047630" s="79" customFormat="1"/>
    <row r="1047631" s="79" customFormat="1"/>
    <row r="1047632" s="79" customFormat="1"/>
    <row r="1047633" s="79" customFormat="1"/>
    <row r="1047634" s="79" customFormat="1"/>
    <row r="1047635" s="79" customFormat="1"/>
    <row r="1047636" s="79" customFormat="1"/>
    <row r="1047637" s="79" customFormat="1"/>
    <row r="1047638" s="79" customFormat="1"/>
    <row r="1047639" s="79" customFormat="1"/>
    <row r="1047640" s="79" customFormat="1"/>
    <row r="1047641" s="79" customFormat="1"/>
    <row r="1047642" s="79" customFormat="1"/>
    <row r="1047643" s="79" customFormat="1"/>
    <row r="1047644" s="79" customFormat="1"/>
    <row r="1047645" s="79" customFormat="1"/>
    <row r="1047646" s="79" customFormat="1"/>
    <row r="1047647" s="79" customFormat="1"/>
    <row r="1047648" s="79" customFormat="1"/>
    <row r="1047649" s="79" customFormat="1"/>
    <row r="1047650" s="79" customFormat="1"/>
    <row r="1047651" s="79" customFormat="1"/>
    <row r="1047652" s="79" customFormat="1"/>
    <row r="1047653" s="79" customFormat="1"/>
    <row r="1047654" s="79" customFormat="1"/>
    <row r="1047655" s="79" customFormat="1"/>
    <row r="1047656" s="79" customFormat="1"/>
    <row r="1047657" s="79" customFormat="1"/>
    <row r="1047658" s="79" customFormat="1"/>
    <row r="1047659" s="79" customFormat="1"/>
    <row r="1047660" s="79" customFormat="1"/>
    <row r="1047661" s="79" customFormat="1"/>
    <row r="1047662" s="79" customFormat="1"/>
    <row r="1047663" s="79" customFormat="1"/>
    <row r="1047664" s="79" customFormat="1"/>
    <row r="1047665" s="79" customFormat="1"/>
    <row r="1047666" s="79" customFormat="1"/>
    <row r="1047667" s="79" customFormat="1"/>
    <row r="1047668" s="79" customFormat="1"/>
    <row r="1047669" s="79" customFormat="1"/>
    <row r="1047670" s="79" customFormat="1"/>
    <row r="1047671" s="79" customFormat="1"/>
    <row r="1047672" s="79" customFormat="1"/>
    <row r="1047673" s="79" customFormat="1"/>
    <row r="1047674" s="79" customFormat="1"/>
    <row r="1047675" s="79" customFormat="1"/>
    <row r="1047676" s="79" customFormat="1"/>
    <row r="1047677" s="79" customFormat="1"/>
    <row r="1047678" s="79" customFormat="1"/>
    <row r="1047679" s="79" customFormat="1"/>
    <row r="1047680" s="79" customFormat="1"/>
    <row r="1047681" s="79" customFormat="1"/>
    <row r="1047682" s="79" customFormat="1"/>
    <row r="1047683" s="79" customFormat="1"/>
    <row r="1047684" s="79" customFormat="1"/>
    <row r="1047685" s="79" customFormat="1"/>
    <row r="1047686" s="79" customFormat="1"/>
    <row r="1047687" s="79" customFormat="1"/>
    <row r="1047688" s="79" customFormat="1"/>
    <row r="1047689" s="79" customFormat="1"/>
    <row r="1047690" s="79" customFormat="1"/>
    <row r="1047691" s="79" customFormat="1"/>
    <row r="1047692" s="79" customFormat="1"/>
    <row r="1047693" s="79" customFormat="1"/>
    <row r="1047694" s="79" customFormat="1"/>
    <row r="1047695" s="79" customFormat="1"/>
    <row r="1047696" s="79" customFormat="1"/>
    <row r="1047697" s="79" customFormat="1"/>
    <row r="1047698" s="79" customFormat="1"/>
    <row r="1047699" s="79" customFormat="1"/>
    <row r="1047700" s="79" customFormat="1"/>
    <row r="1047701" s="79" customFormat="1"/>
    <row r="1047702" s="79" customFormat="1"/>
    <row r="1047703" s="79" customFormat="1"/>
    <row r="1047704" s="79" customFormat="1"/>
    <row r="1047705" s="79" customFormat="1"/>
    <row r="1047706" s="79" customFormat="1"/>
    <row r="1047707" s="79" customFormat="1"/>
    <row r="1047708" s="79" customFormat="1"/>
    <row r="1047709" s="79" customFormat="1"/>
    <row r="1047710" s="79" customFormat="1"/>
    <row r="1047711" s="79" customFormat="1"/>
    <row r="1047712" s="79" customFormat="1"/>
    <row r="1047713" s="79" customFormat="1"/>
    <row r="1047714" s="79" customFormat="1"/>
    <row r="1047715" s="79" customFormat="1"/>
    <row r="1047716" s="79" customFormat="1"/>
    <row r="1047717" s="79" customFormat="1"/>
    <row r="1047718" s="79" customFormat="1"/>
    <row r="1047719" s="79" customFormat="1"/>
    <row r="1047720" s="79" customFormat="1"/>
    <row r="1047721" s="79" customFormat="1"/>
    <row r="1047722" s="79" customFormat="1"/>
    <row r="1047723" s="79" customFormat="1"/>
    <row r="1047724" s="79" customFormat="1"/>
    <row r="1047725" s="79" customFormat="1"/>
    <row r="1047726" s="79" customFormat="1"/>
    <row r="1047727" s="79" customFormat="1"/>
    <row r="1047728" s="79" customFormat="1"/>
    <row r="1047729" s="79" customFormat="1"/>
    <row r="1047730" s="79" customFormat="1"/>
    <row r="1047731" s="79" customFormat="1"/>
    <row r="1047732" s="79" customFormat="1"/>
    <row r="1047733" s="79" customFormat="1"/>
    <row r="1047734" s="79" customFormat="1"/>
    <row r="1047735" s="79" customFormat="1"/>
    <row r="1047736" s="79" customFormat="1"/>
    <row r="1047737" s="79" customFormat="1"/>
    <row r="1047738" s="79" customFormat="1"/>
    <row r="1047739" s="79" customFormat="1"/>
    <row r="1047740" s="79" customFormat="1"/>
    <row r="1047741" s="79" customFormat="1"/>
    <row r="1047742" s="79" customFormat="1"/>
    <row r="1047743" s="79" customFormat="1"/>
    <row r="1047744" s="79" customFormat="1"/>
    <row r="1047745" s="79" customFormat="1"/>
    <row r="1047746" s="79" customFormat="1"/>
    <row r="1047747" s="79" customFormat="1"/>
    <row r="1047748" s="79" customFormat="1"/>
    <row r="1047749" s="79" customFormat="1"/>
    <row r="1047750" s="79" customFormat="1"/>
    <row r="1047751" s="79" customFormat="1"/>
    <row r="1047752" s="79" customFormat="1"/>
    <row r="1047753" s="79" customFormat="1"/>
    <row r="1047754" s="79" customFormat="1"/>
    <row r="1047755" s="79" customFormat="1"/>
    <row r="1047756" s="79" customFormat="1"/>
    <row r="1047757" s="79" customFormat="1"/>
    <row r="1047758" s="79" customFormat="1"/>
    <row r="1047759" s="79" customFormat="1"/>
    <row r="1047760" s="79" customFormat="1"/>
    <row r="1047761" s="79" customFormat="1"/>
    <row r="1047762" s="79" customFormat="1"/>
    <row r="1047763" s="79" customFormat="1"/>
    <row r="1047764" s="79" customFormat="1"/>
    <row r="1047765" s="79" customFormat="1"/>
    <row r="1047766" s="79" customFormat="1"/>
    <row r="1047767" s="79" customFormat="1"/>
    <row r="1047768" s="79" customFormat="1"/>
    <row r="1047769" s="79" customFormat="1"/>
    <row r="1047770" s="79" customFormat="1"/>
    <row r="1047771" s="79" customFormat="1"/>
    <row r="1047772" s="79" customFormat="1"/>
    <row r="1047773" s="79" customFormat="1"/>
    <row r="1047774" s="79" customFormat="1"/>
    <row r="1047775" s="79" customFormat="1"/>
    <row r="1047776" s="79" customFormat="1"/>
    <row r="1047777" s="79" customFormat="1"/>
    <row r="1047778" s="79" customFormat="1"/>
    <row r="1047779" s="79" customFormat="1"/>
    <row r="1047780" s="79" customFormat="1"/>
    <row r="1047781" s="79" customFormat="1"/>
    <row r="1047782" s="79" customFormat="1"/>
    <row r="1047783" s="79" customFormat="1"/>
    <row r="1047784" s="79" customFormat="1"/>
    <row r="1047785" s="79" customFormat="1"/>
    <row r="1047786" s="79" customFormat="1"/>
    <row r="1047787" s="79" customFormat="1"/>
    <row r="1047788" s="79" customFormat="1"/>
    <row r="1047789" s="79" customFormat="1"/>
    <row r="1047790" s="79" customFormat="1"/>
    <row r="1047791" s="79" customFormat="1"/>
    <row r="1047792" s="79" customFormat="1"/>
    <row r="1047793" s="79" customFormat="1"/>
    <row r="1047794" s="79" customFormat="1"/>
    <row r="1047795" s="79" customFormat="1"/>
    <row r="1047796" s="79" customFormat="1"/>
    <row r="1047797" s="79" customFormat="1"/>
    <row r="1047798" s="79" customFormat="1"/>
    <row r="1047799" s="79" customFormat="1"/>
    <row r="1047800" s="79" customFormat="1"/>
    <row r="1047801" s="79" customFormat="1"/>
    <row r="1047802" s="79" customFormat="1"/>
    <row r="1047803" s="79" customFormat="1"/>
    <row r="1047804" s="79" customFormat="1"/>
    <row r="1047805" s="79" customFormat="1"/>
    <row r="1047806" s="79" customFormat="1"/>
    <row r="1047807" s="79" customFormat="1"/>
    <row r="1047808" s="79" customFormat="1"/>
    <row r="1047809" s="79" customFormat="1"/>
    <row r="1047810" s="79" customFormat="1"/>
    <row r="1047811" s="79" customFormat="1"/>
    <row r="1047812" s="79" customFormat="1"/>
    <row r="1047813" s="79" customFormat="1"/>
    <row r="1047814" s="79" customFormat="1"/>
    <row r="1047815" s="79" customFormat="1"/>
    <row r="1047816" s="79" customFormat="1"/>
    <row r="1047817" s="79" customFormat="1"/>
    <row r="1047818" s="79" customFormat="1"/>
    <row r="1047819" s="79" customFormat="1"/>
    <row r="1047820" s="79" customFormat="1"/>
    <row r="1047821" s="79" customFormat="1"/>
    <row r="1047822" s="79" customFormat="1"/>
    <row r="1047823" s="79" customFormat="1"/>
    <row r="1047824" s="79" customFormat="1"/>
    <row r="1047825" s="79" customFormat="1"/>
    <row r="1047826" s="79" customFormat="1"/>
    <row r="1047827" s="79" customFormat="1"/>
    <row r="1047828" s="79" customFormat="1"/>
    <row r="1047829" s="79" customFormat="1"/>
    <row r="1047830" s="79" customFormat="1"/>
    <row r="1047831" s="79" customFormat="1"/>
    <row r="1047832" s="79" customFormat="1"/>
    <row r="1047833" s="79" customFormat="1"/>
    <row r="1047834" s="79" customFormat="1"/>
    <row r="1047835" s="79" customFormat="1"/>
    <row r="1047836" s="79" customFormat="1"/>
    <row r="1047837" s="79" customFormat="1"/>
    <row r="1047838" s="79" customFormat="1"/>
    <row r="1047839" s="79" customFormat="1"/>
    <row r="1047840" s="79" customFormat="1"/>
    <row r="1047841" s="79" customFormat="1"/>
    <row r="1047842" s="79" customFormat="1"/>
    <row r="1047843" s="79" customFormat="1"/>
    <row r="1047844" s="79" customFormat="1"/>
    <row r="1047845" s="79" customFormat="1"/>
    <row r="1047846" s="79" customFormat="1"/>
    <row r="1047847" s="79" customFormat="1"/>
    <row r="1047848" s="79" customFormat="1"/>
    <row r="1047849" s="79" customFormat="1"/>
    <row r="1047850" s="79" customFormat="1"/>
    <row r="1047851" s="79" customFormat="1"/>
    <row r="1047852" s="79" customFormat="1"/>
    <row r="1047853" s="79" customFormat="1"/>
    <row r="1047854" s="79" customFormat="1"/>
    <row r="1047855" s="79" customFormat="1"/>
    <row r="1047856" s="79" customFormat="1"/>
    <row r="1047857" s="79" customFormat="1"/>
    <row r="1047858" s="79" customFormat="1"/>
    <row r="1047859" s="79" customFormat="1"/>
    <row r="1047860" s="79" customFormat="1"/>
    <row r="1047861" s="79" customFormat="1"/>
    <row r="1047862" s="79" customFormat="1"/>
    <row r="1047863" s="79" customFormat="1"/>
    <row r="1047864" s="79" customFormat="1"/>
    <row r="1047865" s="79" customFormat="1"/>
    <row r="1047866" s="79" customFormat="1"/>
    <row r="1047867" s="79" customFormat="1"/>
    <row r="1047868" s="79" customFormat="1"/>
    <row r="1047869" s="79" customFormat="1"/>
    <row r="1047870" s="79" customFormat="1"/>
    <row r="1047871" s="79" customFormat="1"/>
    <row r="1047872" s="79" customFormat="1"/>
    <row r="1047873" s="79" customFormat="1"/>
    <row r="1047874" s="79" customFormat="1"/>
    <row r="1047875" s="79" customFormat="1"/>
    <row r="1047876" s="79" customFormat="1"/>
    <row r="1047877" s="79" customFormat="1"/>
    <row r="1047878" s="79" customFormat="1"/>
    <row r="1047879" s="79" customFormat="1"/>
    <row r="1047880" s="79" customFormat="1"/>
    <row r="1047881" s="79" customFormat="1"/>
    <row r="1047882" s="79" customFormat="1"/>
    <row r="1047883" s="79" customFormat="1"/>
    <row r="1047884" s="79" customFormat="1"/>
    <row r="1047885" s="79" customFormat="1"/>
    <row r="1047886" s="79" customFormat="1"/>
    <row r="1047887" s="79" customFormat="1"/>
    <row r="1047888" s="79" customFormat="1"/>
    <row r="1047889" s="79" customFormat="1"/>
    <row r="1047890" s="79" customFormat="1"/>
    <row r="1047891" s="79" customFormat="1"/>
    <row r="1047892" s="79" customFormat="1"/>
    <row r="1047893" s="79" customFormat="1"/>
    <row r="1047894" s="79" customFormat="1"/>
    <row r="1047895" s="79" customFormat="1"/>
    <row r="1047896" s="79" customFormat="1"/>
    <row r="1047897" s="79" customFormat="1"/>
    <row r="1047898" s="79" customFormat="1"/>
    <row r="1047899" s="79" customFormat="1"/>
    <row r="1047900" s="79" customFormat="1"/>
    <row r="1047901" s="79" customFormat="1"/>
    <row r="1047902" s="79" customFormat="1"/>
    <row r="1047903" s="79" customFormat="1"/>
    <row r="1047904" s="79" customFormat="1"/>
    <row r="1047905" s="79" customFormat="1"/>
    <row r="1047906" s="79" customFormat="1"/>
    <row r="1047907" s="79" customFormat="1"/>
    <row r="1047908" s="79" customFormat="1"/>
    <row r="1047909" s="79" customFormat="1"/>
    <row r="1047910" s="79" customFormat="1"/>
    <row r="1047911" s="79" customFormat="1"/>
    <row r="1047912" s="79" customFormat="1"/>
    <row r="1047913" s="79" customFormat="1"/>
    <row r="1047914" s="79" customFormat="1"/>
    <row r="1047915" s="79" customFormat="1"/>
    <row r="1047916" s="79" customFormat="1"/>
    <row r="1047917" s="79" customFormat="1"/>
    <row r="1047918" s="79" customFormat="1"/>
    <row r="1047919" s="79" customFormat="1"/>
    <row r="1047920" s="79" customFormat="1"/>
    <row r="1047921" s="79" customFormat="1"/>
    <row r="1047922" s="79" customFormat="1"/>
    <row r="1047923" s="79" customFormat="1"/>
    <row r="1047924" s="79" customFormat="1"/>
    <row r="1047925" s="79" customFormat="1"/>
    <row r="1047926" s="79" customFormat="1"/>
    <row r="1047927" s="79" customFormat="1"/>
    <row r="1047928" s="79" customFormat="1"/>
    <row r="1047929" s="79" customFormat="1"/>
    <row r="1047930" s="79" customFormat="1"/>
    <row r="1047931" s="79" customFormat="1"/>
    <row r="1047932" s="79" customFormat="1"/>
    <row r="1047933" s="79" customFormat="1"/>
    <row r="1047934" s="79" customFormat="1"/>
    <row r="1047935" s="79" customFormat="1"/>
    <row r="1047936" s="79" customFormat="1"/>
    <row r="1047937" s="79" customFormat="1"/>
    <row r="1047938" s="79" customFormat="1"/>
    <row r="1047939" s="79" customFormat="1"/>
    <row r="1047940" s="79" customFormat="1"/>
    <row r="1047941" s="79" customFormat="1"/>
    <row r="1047942" s="79" customFormat="1"/>
    <row r="1047943" s="79" customFormat="1"/>
    <row r="1047944" s="79" customFormat="1"/>
    <row r="1047945" s="79" customFormat="1"/>
    <row r="1047946" s="79" customFormat="1"/>
    <row r="1047947" s="79" customFormat="1"/>
    <row r="1047948" s="79" customFormat="1"/>
    <row r="1047949" s="79" customFormat="1"/>
    <row r="1047950" s="79" customFormat="1"/>
    <row r="1047951" s="79" customFormat="1"/>
    <row r="1047952" s="79" customFormat="1"/>
    <row r="1047953" s="79" customFormat="1"/>
    <row r="1047954" s="79" customFormat="1"/>
    <row r="1047955" s="79" customFormat="1"/>
    <row r="1047956" s="79" customFormat="1"/>
    <row r="1047957" s="79" customFormat="1"/>
    <row r="1047958" s="79" customFormat="1"/>
    <row r="1047959" s="79" customFormat="1"/>
    <row r="1047960" s="79" customFormat="1"/>
    <row r="1047961" s="79" customFormat="1"/>
    <row r="1047962" s="79" customFormat="1"/>
    <row r="1047963" s="79" customFormat="1"/>
    <row r="1047964" s="79" customFormat="1"/>
    <row r="1047965" s="79" customFormat="1"/>
    <row r="1047966" s="79" customFormat="1"/>
    <row r="1047967" s="79" customFormat="1"/>
    <row r="1047968" s="79" customFormat="1"/>
    <row r="1047969" s="79" customFormat="1"/>
    <row r="1047970" s="79" customFormat="1"/>
    <row r="1047971" s="79" customFormat="1"/>
    <row r="1047972" s="79" customFormat="1"/>
    <row r="1047973" s="79" customFormat="1"/>
    <row r="1047974" s="79" customFormat="1"/>
    <row r="1047975" s="79" customFormat="1"/>
    <row r="1047976" s="79" customFormat="1"/>
    <row r="1047977" s="79" customFormat="1"/>
    <row r="1047978" s="79" customFormat="1"/>
    <row r="1047979" s="79" customFormat="1"/>
    <row r="1047980" s="79" customFormat="1"/>
    <row r="1047981" s="79" customFormat="1"/>
    <row r="1047982" s="79" customFormat="1"/>
    <row r="1047983" s="79" customFormat="1"/>
    <row r="1047984" s="79" customFormat="1"/>
    <row r="1047985" s="79" customFormat="1"/>
    <row r="1047986" s="79" customFormat="1"/>
    <row r="1047987" s="79" customFormat="1"/>
    <row r="1047988" s="79" customFormat="1"/>
    <row r="1047989" s="79" customFormat="1"/>
    <row r="1047990" s="79" customFormat="1"/>
    <row r="1047991" s="79" customFormat="1"/>
    <row r="1047992" s="79" customFormat="1"/>
    <row r="1047993" s="79" customFormat="1"/>
    <row r="1047994" s="79" customFormat="1"/>
    <row r="1047995" s="79" customFormat="1"/>
    <row r="1047996" s="79" customFormat="1"/>
    <row r="1047997" s="79" customFormat="1"/>
    <row r="1047998" s="79" customFormat="1"/>
    <row r="1047999" s="79" customFormat="1"/>
    <row r="1048000" s="79" customFormat="1"/>
    <row r="1048001" s="79" customFormat="1"/>
    <row r="1048002" s="79" customFormat="1"/>
    <row r="1048003" s="79" customFormat="1"/>
    <row r="1048004" s="79" customFormat="1"/>
    <row r="1048005" s="79" customFormat="1"/>
    <row r="1048006" s="79" customFormat="1"/>
    <row r="1048007" s="79" customFormat="1"/>
    <row r="1048008" s="79" customFormat="1"/>
    <row r="1048009" s="79" customFormat="1"/>
    <row r="1048010" s="79" customFormat="1"/>
    <row r="1048011" s="79" customFormat="1"/>
    <row r="1048012" s="79" customFormat="1"/>
    <row r="1048013" s="79" customFormat="1"/>
    <row r="1048014" s="79" customFormat="1"/>
    <row r="1048015" s="79" customFormat="1"/>
    <row r="1048016" s="79" customFormat="1"/>
    <row r="1048017" s="79" customFormat="1"/>
    <row r="1048018" s="79" customFormat="1"/>
    <row r="1048019" s="79" customFormat="1"/>
    <row r="1048020" s="79" customFormat="1"/>
    <row r="1048021" s="79" customFormat="1"/>
    <row r="1048022" s="79" customFormat="1"/>
    <row r="1048023" s="79" customFormat="1"/>
    <row r="1048024" s="79" customFormat="1"/>
    <row r="1048025" s="79" customFormat="1"/>
    <row r="1048026" s="79" customFormat="1"/>
    <row r="1048027" s="79" customFormat="1"/>
    <row r="1048028" s="79" customFormat="1"/>
    <row r="1048029" s="79" customFormat="1"/>
    <row r="1048030" s="79" customFormat="1"/>
    <row r="1048031" s="79" customFormat="1"/>
    <row r="1048032" s="79" customFormat="1"/>
    <row r="1048033" s="79" customFormat="1"/>
    <row r="1048034" s="79" customFormat="1"/>
    <row r="1048035" s="79" customFormat="1"/>
    <row r="1048036" s="79" customFormat="1"/>
    <row r="1048037" s="79" customFormat="1"/>
    <row r="1048038" s="79" customFormat="1"/>
    <row r="1048039" s="79" customFormat="1"/>
    <row r="1048040" s="79" customFormat="1"/>
    <row r="1048041" s="79" customFormat="1"/>
    <row r="1048042" s="79" customFormat="1"/>
    <row r="1048043" s="79" customFormat="1"/>
    <row r="1048044" s="79" customFormat="1"/>
    <row r="1048045" s="79" customFormat="1"/>
    <row r="1048046" s="79" customFormat="1"/>
    <row r="1048047" s="79" customFormat="1"/>
    <row r="1048048" s="79" customFormat="1"/>
    <row r="1048049" s="79" customFormat="1"/>
    <row r="1048050" s="79" customFormat="1"/>
    <row r="1048051" s="79" customFormat="1"/>
    <row r="1048052" s="79" customFormat="1"/>
    <row r="1048053" s="79" customFormat="1"/>
    <row r="1048054" s="79" customFormat="1"/>
    <row r="1048055" s="79" customFormat="1"/>
    <row r="1048056" s="79" customFormat="1"/>
    <row r="1048057" s="79" customFormat="1"/>
    <row r="1048058" s="79" customFormat="1"/>
    <row r="1048059" s="79" customFormat="1"/>
    <row r="1048060" s="79" customFormat="1"/>
    <row r="1048061" s="79" customFormat="1"/>
    <row r="1048062" s="79" customFormat="1"/>
    <row r="1048063" s="79" customFormat="1"/>
    <row r="1048064" s="79" customFormat="1"/>
    <row r="1048065" s="79" customFormat="1"/>
    <row r="1048066" s="79" customFormat="1"/>
    <row r="1048067" s="79" customFormat="1"/>
    <row r="1048068" s="79" customFormat="1"/>
    <row r="1048069" s="79" customFormat="1"/>
    <row r="1048070" s="79" customFormat="1"/>
    <row r="1048071" s="79" customFormat="1"/>
    <row r="1048072" s="79" customFormat="1"/>
    <row r="1048073" s="79" customFormat="1"/>
    <row r="1048074" s="79" customFormat="1"/>
    <row r="1048075" s="79" customFormat="1"/>
    <row r="1048076" s="79" customFormat="1"/>
    <row r="1048077" s="79" customFormat="1"/>
    <row r="1048078" s="79" customFormat="1"/>
    <row r="1048079" s="79" customFormat="1"/>
    <row r="1048080" s="79" customFormat="1"/>
    <row r="1048081" s="79" customFormat="1"/>
    <row r="1048082" s="79" customFormat="1"/>
    <row r="1048083" s="79" customFormat="1"/>
    <row r="1048084" s="79" customFormat="1"/>
    <row r="1048085" s="79" customFormat="1"/>
    <row r="1048086" s="79" customFormat="1"/>
    <row r="1048087" s="79" customFormat="1"/>
    <row r="1048088" s="79" customFormat="1"/>
    <row r="1048089" s="79" customFormat="1"/>
    <row r="1048090" s="79" customFormat="1"/>
    <row r="1048091" s="79" customFormat="1"/>
    <row r="1048092" s="79" customFormat="1"/>
    <row r="1048093" s="79" customFormat="1"/>
    <row r="1048094" s="79" customFormat="1"/>
    <row r="1048095" s="79" customFormat="1"/>
    <row r="1048096" s="79" customFormat="1"/>
    <row r="1048097" s="79" customFormat="1"/>
    <row r="1048098" s="79" customFormat="1"/>
    <row r="1048099" s="79" customFormat="1"/>
    <row r="1048100" s="79" customFormat="1"/>
    <row r="1048101" s="79" customFormat="1"/>
    <row r="1048102" s="79" customFormat="1"/>
    <row r="1048103" s="79" customFormat="1"/>
    <row r="1048104" s="79" customFormat="1"/>
    <row r="1048105" s="79" customFormat="1"/>
    <row r="1048106" s="79" customFormat="1"/>
    <row r="1048107" s="79" customFormat="1"/>
    <row r="1048108" s="79" customFormat="1"/>
    <row r="1048109" s="79" customFormat="1"/>
    <row r="1048110" s="79" customFormat="1"/>
    <row r="1048111" s="79" customFormat="1"/>
    <row r="1048112" s="79" customFormat="1"/>
    <row r="1048113" s="79" customFormat="1"/>
    <row r="1048114" s="79" customFormat="1"/>
    <row r="1048115" s="79" customFormat="1"/>
    <row r="1048116" s="79" customFormat="1"/>
    <row r="1048117" s="79" customFormat="1"/>
    <row r="1048118" s="79" customFormat="1"/>
    <row r="1048119" s="79" customFormat="1"/>
    <row r="1048120" s="79" customFormat="1"/>
    <row r="1048121" s="79" customFormat="1"/>
    <row r="1048122" s="79" customFormat="1"/>
    <row r="1048123" s="79" customFormat="1"/>
    <row r="1048124" s="79" customFormat="1"/>
    <row r="1048125" s="79" customFormat="1"/>
    <row r="1048126" s="79" customFormat="1"/>
    <row r="1048127" s="79" customFormat="1"/>
    <row r="1048128" s="79" customFormat="1"/>
    <row r="1048129" s="79" customFormat="1"/>
    <row r="1048130" s="79" customFormat="1"/>
    <row r="1048131" s="79" customFormat="1"/>
    <row r="1048132" s="79" customFormat="1"/>
    <row r="1048133" s="79" customFormat="1"/>
    <row r="1048134" s="79" customFormat="1"/>
    <row r="1048135" s="79" customFormat="1"/>
    <row r="1048136" s="79" customFormat="1"/>
    <row r="1048137" s="79" customFormat="1"/>
    <row r="1048138" s="79" customFormat="1"/>
    <row r="1048139" s="79" customFormat="1"/>
    <row r="1048140" s="79" customFormat="1"/>
    <row r="1048141" s="79" customFormat="1"/>
    <row r="1048142" s="79" customFormat="1"/>
    <row r="1048143" s="79" customFormat="1"/>
    <row r="1048144" s="79" customFormat="1"/>
    <row r="1048145" s="79" customFormat="1"/>
    <row r="1048146" s="79" customFormat="1"/>
    <row r="1048147" s="79" customFormat="1"/>
    <row r="1048148" s="79" customFormat="1"/>
    <row r="1048149" s="79" customFormat="1"/>
    <row r="1048150" s="79" customFormat="1"/>
    <row r="1048151" s="79" customFormat="1"/>
    <row r="1048152" s="79" customFormat="1"/>
    <row r="1048153" s="79" customFormat="1"/>
    <row r="1048154" s="79" customFormat="1"/>
    <row r="1048155" s="79" customFormat="1"/>
    <row r="1048156" s="79" customFormat="1"/>
    <row r="1048157" s="79" customFormat="1"/>
    <row r="1048158" s="79" customFormat="1"/>
    <row r="1048159" s="79" customFormat="1"/>
    <row r="1048160" s="79" customFormat="1"/>
    <row r="1048161" s="79" customFormat="1"/>
    <row r="1048162" s="79" customFormat="1"/>
    <row r="1048163" s="79" customFormat="1"/>
    <row r="1048164" s="79" customFormat="1"/>
    <row r="1048165" s="79" customFormat="1"/>
    <row r="1048166" s="79" customFormat="1"/>
    <row r="1048167" s="79" customFormat="1"/>
    <row r="1048168" s="79" customFormat="1"/>
    <row r="1048169" s="79" customFormat="1"/>
    <row r="1048170" s="79" customFormat="1"/>
    <row r="1048171" s="79" customFormat="1"/>
    <row r="1048172" s="79" customFormat="1"/>
    <row r="1048173" s="79" customFormat="1"/>
    <row r="1048174" s="79" customFormat="1"/>
    <row r="1048175" s="79" customFormat="1"/>
    <row r="1048176" s="79" customFormat="1"/>
    <row r="1048177" s="79" customFormat="1"/>
    <row r="1048178" s="79" customFormat="1"/>
    <row r="1048179" s="79" customFormat="1"/>
    <row r="1048180" s="79" customFormat="1"/>
    <row r="1048181" s="79" customFormat="1"/>
    <row r="1048182" s="79" customFormat="1"/>
    <row r="1048183" s="79" customFormat="1"/>
    <row r="1048184" s="79" customFormat="1"/>
    <row r="1048185" s="79" customFormat="1"/>
    <row r="1048186" s="79" customFormat="1"/>
    <row r="1048187" s="79" customFormat="1"/>
    <row r="1048188" s="79" customFormat="1"/>
    <row r="1048189" s="79" customFormat="1"/>
    <row r="1048190" s="79" customFormat="1"/>
    <row r="1048191" s="79" customFormat="1"/>
    <row r="1048192" s="79" customFormat="1"/>
    <row r="1048193" s="79" customFormat="1"/>
    <row r="1048194" s="79" customFormat="1"/>
    <row r="1048195" s="79" customFormat="1"/>
    <row r="1048196" s="79" customFormat="1"/>
    <row r="1048197" s="79" customFormat="1"/>
    <row r="1048198" s="79" customFormat="1"/>
    <row r="1048199" s="79" customFormat="1"/>
    <row r="1048200" s="79" customFormat="1"/>
    <row r="1048201" s="79" customFormat="1"/>
    <row r="1048202" s="79" customFormat="1"/>
    <row r="1048203" s="79" customFormat="1"/>
    <row r="1048204" s="79" customFormat="1"/>
    <row r="1048205" s="79" customFormat="1"/>
    <row r="1048206" s="79" customFormat="1"/>
    <row r="1048207" s="79" customFormat="1"/>
    <row r="1048208" s="79" customFormat="1"/>
    <row r="1048209" s="79" customFormat="1"/>
    <row r="1048210" s="79" customFormat="1"/>
    <row r="1048211" s="79" customFormat="1"/>
    <row r="1048212" s="79" customFormat="1"/>
    <row r="1048213" s="79" customFormat="1"/>
    <row r="1048214" s="79" customFormat="1"/>
    <row r="1048215" s="79" customFormat="1"/>
    <row r="1048216" s="79" customFormat="1"/>
    <row r="1048217" s="79" customFormat="1"/>
    <row r="1048218" s="79" customFormat="1"/>
    <row r="1048219" s="79" customFormat="1"/>
    <row r="1048220" s="79" customFormat="1"/>
    <row r="1048221" s="79" customFormat="1"/>
    <row r="1048222" s="79" customFormat="1"/>
    <row r="1048223" s="79" customFormat="1"/>
    <row r="1048224" s="79" customFormat="1"/>
    <row r="1048225" s="79" customFormat="1"/>
    <row r="1048226" s="79" customFormat="1"/>
    <row r="1048227" s="79" customFormat="1"/>
    <row r="1048228" s="79" customFormat="1"/>
    <row r="1048229" s="79" customFormat="1"/>
    <row r="1048230" s="79" customFormat="1"/>
    <row r="1048231" s="79" customFormat="1"/>
    <row r="1048232" s="79" customFormat="1"/>
    <row r="1048233" s="79" customFormat="1"/>
    <row r="1048234" s="79" customFormat="1"/>
    <row r="1048235" s="79" customFormat="1"/>
    <row r="1048236" s="79" customFormat="1"/>
    <row r="1048237" s="79" customFormat="1"/>
    <row r="1048238" s="79" customFormat="1"/>
    <row r="1048239" s="79" customFormat="1"/>
    <row r="1048240" s="79" customFormat="1"/>
    <row r="1048241" s="79" customFormat="1"/>
    <row r="1048242" s="79" customFormat="1"/>
    <row r="1048243" s="79" customFormat="1"/>
    <row r="1048244" s="79" customFormat="1"/>
    <row r="1048245" s="79" customFormat="1"/>
    <row r="1048246" s="79" customFormat="1"/>
    <row r="1048247" s="79" customFormat="1"/>
    <row r="1048248" s="79" customFormat="1"/>
    <row r="1048249" s="79" customFormat="1"/>
    <row r="1048250" s="79" customFormat="1"/>
    <row r="1048251" s="79" customFormat="1"/>
    <row r="1048252" s="79" customFormat="1"/>
    <row r="1048253" s="79" customFormat="1"/>
    <row r="1048254" s="79" customFormat="1"/>
    <row r="1048255" s="79" customFormat="1"/>
    <row r="1048256" s="79" customFormat="1"/>
    <row r="1048257" s="79" customFormat="1"/>
    <row r="1048258" s="79" customFormat="1"/>
    <row r="1048259" s="79" customFormat="1"/>
    <row r="1048260" s="79" customFormat="1"/>
    <row r="1048261" s="79" customFormat="1"/>
    <row r="1048262" s="79" customFormat="1"/>
    <row r="1048263" s="79" customFormat="1"/>
    <row r="1048264" s="79" customFormat="1"/>
    <row r="1048265" s="79" customFormat="1"/>
    <row r="1048266" s="79" customFormat="1"/>
    <row r="1048267" s="79" customFormat="1"/>
    <row r="1048268" s="79" customFormat="1"/>
    <row r="1048269" s="79" customFormat="1"/>
    <row r="1048270" s="79" customFormat="1"/>
    <row r="1048271" s="79" customFormat="1"/>
    <row r="1048272" s="79" customFormat="1"/>
    <row r="1048273" s="79" customFormat="1"/>
    <row r="1048274" s="79" customFormat="1"/>
    <row r="1048275" s="79" customFormat="1"/>
    <row r="1048276" s="79" customFormat="1"/>
    <row r="1048277" s="79" customFormat="1"/>
    <row r="1048278" s="79" customFormat="1"/>
    <row r="1048279" s="79" customFormat="1"/>
    <row r="1048280" s="79" customFormat="1"/>
    <row r="1048281" s="79" customFormat="1"/>
    <row r="1048282" s="79" customFormat="1"/>
    <row r="1048283" s="79" customFormat="1"/>
    <row r="1048284" s="79" customFormat="1"/>
    <row r="1048285" s="79" customFormat="1"/>
    <row r="1048286" s="79" customFormat="1"/>
    <row r="1048287" s="79" customFormat="1"/>
    <row r="1048288" s="79" customFormat="1"/>
    <row r="1048289" s="79" customFormat="1"/>
    <row r="1048290" s="79" customFormat="1"/>
    <row r="1048291" s="79" customFormat="1"/>
    <row r="1048292" s="79" customFormat="1"/>
    <row r="1048293" s="79" customFormat="1"/>
    <row r="1048294" s="79" customFormat="1"/>
    <row r="1048295" s="79" customFormat="1"/>
    <row r="1048296" s="79" customFormat="1"/>
    <row r="1048297" s="79" customFormat="1"/>
    <row r="1048298" s="79" customFormat="1"/>
    <row r="1048299" s="79" customFormat="1"/>
    <row r="1048300" s="79" customFormat="1"/>
    <row r="1048301" s="79" customFormat="1"/>
    <row r="1048302" s="79" customFormat="1"/>
    <row r="1048303" s="79" customFormat="1"/>
    <row r="1048304" s="79" customFormat="1"/>
    <row r="1048305" s="79" customFormat="1"/>
    <row r="1048306" s="79" customFormat="1"/>
    <row r="1048307" s="79" customFormat="1"/>
    <row r="1048308" s="79" customFormat="1"/>
    <row r="1048309" s="79" customFormat="1"/>
    <row r="1048310" s="79" customFormat="1"/>
    <row r="1048311" s="79" customFormat="1"/>
    <row r="1048312" s="79" customFormat="1"/>
    <row r="1048313" s="79" customFormat="1"/>
    <row r="1048314" s="79" customFormat="1"/>
    <row r="1048315" s="79" customFormat="1"/>
    <row r="1048316" s="79" customFormat="1"/>
    <row r="1048317" s="79" customFormat="1"/>
    <row r="1048318" s="79" customFormat="1"/>
    <row r="1048319" s="79" customFormat="1"/>
    <row r="1048320" s="79" customFormat="1"/>
    <row r="1048321" s="79" customFormat="1"/>
    <row r="1048322" s="79" customFormat="1"/>
    <row r="1048323" s="79" customFormat="1"/>
    <row r="1048324" s="79" customFormat="1"/>
    <row r="1048325" s="79" customFormat="1"/>
    <row r="1048326" s="79" customFormat="1"/>
    <row r="1048327" s="79" customFormat="1"/>
    <row r="1048328" s="79" customFormat="1"/>
    <row r="1048329" s="79" customFormat="1"/>
    <row r="1048330" s="79" customFormat="1"/>
    <row r="1048331" s="79" customFormat="1"/>
    <row r="1048332" s="79" customFormat="1"/>
    <row r="1048333" s="79" customFormat="1"/>
    <row r="1048334" s="79" customFormat="1"/>
    <row r="1048335" s="79" customFormat="1"/>
    <row r="1048336" s="79" customFormat="1"/>
    <row r="1048337" s="79" customFormat="1"/>
    <row r="1048338" s="79" customFormat="1"/>
    <row r="1048339" s="79" customFormat="1"/>
    <row r="1048340" s="79" customFormat="1"/>
    <row r="1048341" s="79" customFormat="1"/>
    <row r="1048342" s="79" customFormat="1"/>
    <row r="1048343" s="79" customFormat="1"/>
    <row r="1048344" s="79" customFormat="1"/>
    <row r="1048345" s="79" customFormat="1"/>
    <row r="1048346" s="79" customFormat="1"/>
    <row r="1048347" s="79" customFormat="1"/>
    <row r="1048348" s="79" customFormat="1"/>
    <row r="1048349" s="79" customFormat="1"/>
    <row r="1048350" s="79" customFormat="1"/>
    <row r="1048351" s="79" customFormat="1"/>
    <row r="1048352" s="79" customFormat="1"/>
    <row r="1048353" s="79" customFormat="1"/>
    <row r="1048354" s="79" customFormat="1"/>
    <row r="1048355" s="79" customFormat="1"/>
    <row r="1048356" s="79" customFormat="1"/>
    <row r="1048357" s="79" customFormat="1"/>
    <row r="1048358" s="79" customFormat="1"/>
    <row r="1048359" s="79" customFormat="1"/>
    <row r="1048360" s="79" customFormat="1"/>
    <row r="1048361" s="79" customFormat="1"/>
    <row r="1048362" s="79" customFormat="1"/>
    <row r="1048363" s="79" customFormat="1"/>
    <row r="1048364" s="79" customFormat="1"/>
    <row r="1048365" s="79" customFormat="1"/>
    <row r="1048366" s="79" customFormat="1"/>
    <row r="1048367" s="79" customFormat="1"/>
    <row r="1048368" s="79" customFormat="1"/>
    <row r="1048369" s="79" customFormat="1"/>
    <row r="1048370" s="79" customFormat="1"/>
    <row r="1048371" s="79" customFormat="1"/>
    <row r="1048372" s="79" customFormat="1"/>
    <row r="1048373" s="79" customFormat="1"/>
    <row r="1048374" s="79" customFormat="1"/>
    <row r="1048375" s="79" customFormat="1"/>
    <row r="1048376" s="79" customFormat="1"/>
    <row r="1048377" s="79" customFormat="1"/>
    <row r="1048378" s="79" customFormat="1"/>
    <row r="1048379" s="79" customFormat="1"/>
    <row r="1048380" s="79" customFormat="1"/>
    <row r="1048381" s="79" customFormat="1"/>
    <row r="1048382" s="79" customFormat="1"/>
    <row r="1048383" s="79" customFormat="1"/>
    <row r="1048384" s="79" customFormat="1"/>
    <row r="1048385" s="79" customFormat="1"/>
    <row r="1048386" s="79" customFormat="1"/>
    <row r="1048387" s="79" customFormat="1"/>
    <row r="1048388" s="79" customFormat="1"/>
    <row r="1048389" s="79" customFormat="1"/>
    <row r="1048390" s="79" customFormat="1"/>
    <row r="1048391" s="79" customFormat="1"/>
    <row r="1048392" s="79" customFormat="1"/>
    <row r="1048393" s="79" customFormat="1"/>
    <row r="1048394" s="79" customFormat="1"/>
    <row r="1048395" s="79" customFormat="1"/>
    <row r="1048396" s="79" customFormat="1"/>
    <row r="1048397" s="79" customFormat="1"/>
    <row r="1048398" s="79" customFormat="1"/>
    <row r="1048399" s="79" customFormat="1"/>
    <row r="1048400" s="79" customFormat="1"/>
    <row r="1048401" s="79" customFormat="1"/>
    <row r="1048402" s="79" customFormat="1"/>
    <row r="1048403" s="79" customFormat="1"/>
    <row r="1048404" s="79" customFormat="1"/>
    <row r="1048405" s="79" customFormat="1"/>
    <row r="1048406" s="79" customFormat="1"/>
    <row r="1048407" s="79" customFormat="1"/>
    <row r="1048408" s="79" customFormat="1"/>
    <row r="1048409" s="79" customFormat="1"/>
    <row r="1048410" s="79" customFormat="1"/>
    <row r="1048411" s="79" customFormat="1"/>
    <row r="1048412" s="79" customFormat="1"/>
    <row r="1048413" s="79" customFormat="1"/>
    <row r="1048414" s="79" customFormat="1"/>
    <row r="1048415" s="79" customFormat="1"/>
    <row r="1048416" s="79" customFormat="1"/>
    <row r="1048417" s="79" customFormat="1"/>
    <row r="1048418" s="79" customFormat="1"/>
    <row r="1048419" s="79" customFormat="1"/>
    <row r="1048420" s="79" customFormat="1"/>
    <row r="1048421" s="79" customFormat="1"/>
    <row r="1048422" s="79" customFormat="1"/>
    <row r="1048423" s="79" customFormat="1"/>
    <row r="1048424" s="79" customFormat="1"/>
    <row r="1048425" s="79" customFormat="1"/>
    <row r="1048426" s="79" customFormat="1"/>
    <row r="1048427" s="79" customFormat="1"/>
    <row r="1048428" s="79" customFormat="1"/>
    <row r="1048429" s="79" customFormat="1"/>
    <row r="1048430" s="79" customFormat="1"/>
    <row r="1048431" s="79" customFormat="1"/>
    <row r="1048432" s="79" customFormat="1"/>
    <row r="1048433" s="79" customFormat="1"/>
    <row r="1048434" s="79" customFormat="1"/>
    <row r="1048435" s="79" customFormat="1"/>
    <row r="1048436" s="79" customFormat="1"/>
    <row r="1048437" s="79" customFormat="1"/>
    <row r="1048438" s="79" customFormat="1"/>
    <row r="1048439" s="79" customFormat="1"/>
    <row r="1048440" s="79" customFormat="1"/>
    <row r="1048441" s="79" customFormat="1"/>
    <row r="1048442" s="79" customFormat="1"/>
    <row r="1048443" s="79" customFormat="1"/>
    <row r="1048444" s="79" customFormat="1"/>
    <row r="1048445" s="79" customFormat="1"/>
    <row r="1048446" s="79" customFormat="1"/>
    <row r="1048447" s="79" customFormat="1"/>
    <row r="1048448" s="79" customFormat="1"/>
    <row r="1048449" s="79" customFormat="1"/>
    <row r="1048450" s="79" customFormat="1"/>
    <row r="1048451" s="79" customFormat="1"/>
    <row r="1048452" s="79" customFormat="1"/>
    <row r="1048453" s="79" customFormat="1"/>
    <row r="1048454" s="79" customFormat="1"/>
    <row r="1048455" s="79" customFormat="1"/>
    <row r="1048456" s="79" customFormat="1"/>
    <row r="1048457" s="79" customFormat="1"/>
    <row r="1048458" s="79" customFormat="1"/>
    <row r="1048459" s="79" customFormat="1"/>
    <row r="1048460" s="79" customFormat="1"/>
    <row r="1048461" s="79" customFormat="1"/>
    <row r="1048462" s="79" customFormat="1"/>
    <row r="1048463" s="79" customFormat="1"/>
    <row r="1048464" s="79" customFormat="1"/>
    <row r="1048465" s="79" customFormat="1"/>
    <row r="1048466" s="79" customFormat="1"/>
    <row r="1048467" s="79" customFormat="1"/>
    <row r="1048468" s="79" customFormat="1"/>
    <row r="1048469" s="79" customFormat="1"/>
    <row r="1048470" s="79" customFormat="1"/>
    <row r="1048471" s="79" customFormat="1"/>
    <row r="1048472" s="79" customFormat="1"/>
    <row r="1048473" s="79" customFormat="1"/>
    <row r="1048474" s="79" customFormat="1"/>
    <row r="1048475" s="79" customFormat="1"/>
    <row r="1048476" s="79" customFormat="1"/>
    <row r="1048477" s="79" customFormat="1"/>
    <row r="1048478" s="79" customFormat="1"/>
    <row r="1048479" s="79" customFormat="1"/>
    <row r="1048480" s="79" customFormat="1"/>
    <row r="1048481" s="79" customFormat="1"/>
    <row r="1048482" s="79" customFormat="1"/>
    <row r="1048483" s="79" customFormat="1"/>
    <row r="1048484" s="79" customFormat="1"/>
    <row r="1048485" s="79" customFormat="1"/>
    <row r="1048486" s="79" customFormat="1"/>
    <row r="1048487" s="79" customFormat="1"/>
    <row r="1048488" s="79" customFormat="1"/>
    <row r="1048489" s="79" customFormat="1"/>
    <row r="1048490" s="79" customFormat="1"/>
    <row r="1048491" s="79" customFormat="1"/>
    <row r="1048492" s="79" customFormat="1"/>
    <row r="1048493" s="79" customFormat="1"/>
    <row r="1048494" s="79" customFormat="1"/>
    <row r="1048495" s="79" customFormat="1"/>
    <row r="1048496" s="79" customFormat="1"/>
    <row r="1048497" s="79" customFormat="1"/>
    <row r="1048498" s="79" customFormat="1"/>
    <row r="1048499" s="79" customFormat="1"/>
    <row r="1048500" s="79" customFormat="1"/>
    <row r="1048501" s="79" customFormat="1"/>
    <row r="1048502" s="79" customFormat="1"/>
    <row r="1048503" s="79" customFormat="1"/>
    <row r="1048504" s="79" customFormat="1"/>
    <row r="1048505" s="79" customFormat="1"/>
    <row r="1048506" s="79" customFormat="1"/>
    <row r="1048507" s="79" customFormat="1"/>
    <row r="1048508" s="79" customFormat="1"/>
    <row r="1048509" s="79" customFormat="1"/>
    <row r="1048510" s="79" customFormat="1"/>
    <row r="1048511" s="79" customFormat="1"/>
    <row r="1048512" s="79" customFormat="1"/>
    <row r="1048513" s="79" customFormat="1"/>
    <row r="1048514" s="79" customFormat="1"/>
    <row r="1048515" s="79" customFormat="1"/>
    <row r="1048516" s="79" customFormat="1"/>
    <row r="1048517" s="79" customFormat="1"/>
    <row r="1048518" s="79" customFormat="1"/>
    <row r="1048519" s="79" customFormat="1"/>
    <row r="1048520" s="79" customFormat="1"/>
    <row r="1048521" s="79" customFormat="1"/>
    <row r="1048522" s="79" customFormat="1"/>
    <row r="1048523" s="79" customFormat="1"/>
    <row r="1048524" s="79" customFormat="1"/>
    <row r="1048525" s="79" customFormat="1"/>
    <row r="1048526" s="79" customFormat="1"/>
    <row r="1048527" s="79" customFormat="1"/>
    <row r="1048528" s="79" customFormat="1"/>
    <row r="1048529" s="79" customFormat="1"/>
    <row r="1048530" s="79" customFormat="1"/>
    <row r="1048531" s="79" customFormat="1"/>
    <row r="1048532" s="79" customFormat="1"/>
    <row r="1048533" s="79" customFormat="1"/>
    <row r="1048534" s="79" customFormat="1"/>
    <row r="1048535" s="79" customFormat="1"/>
    <row r="1048536" s="79" customFormat="1"/>
    <row r="1048537" s="79" customFormat="1"/>
    <row r="1048538" s="79" customFormat="1"/>
    <row r="1048539" s="79" customFormat="1"/>
    <row r="1048540" s="79" customFormat="1"/>
    <row r="1048541" s="79" customFormat="1"/>
    <row r="1048542" s="79" customFormat="1"/>
    <row r="1048543" s="79" customFormat="1"/>
    <row r="1048544" s="79" customFormat="1"/>
    <row r="1048545" s="79" customFormat="1"/>
    <row r="1048546" s="79" customFormat="1"/>
    <row r="1048547" s="79" customFormat="1"/>
    <row r="1048548" s="79" customFormat="1"/>
    <row r="1048549" s="79" customFormat="1"/>
    <row r="1048550" s="79" customFormat="1"/>
    <row r="1048551" s="79" customFormat="1"/>
    <row r="1048552" s="79" customFormat="1"/>
    <row r="1048553" s="79" customFormat="1"/>
    <row r="1048554" s="79" customFormat="1"/>
    <row r="1048555" s="79" customFormat="1"/>
    <row r="1048556" s="79" customFormat="1"/>
    <row r="1048557" s="79" customFormat="1"/>
    <row r="1048558" s="79" customFormat="1"/>
    <row r="1048559" s="79" customFormat="1"/>
    <row r="1048560" s="79" customFormat="1"/>
    <row r="1048561" s="79" customFormat="1"/>
    <row r="1048562" s="79" customFormat="1"/>
    <row r="1048563" s="79" customFormat="1"/>
    <row r="1048564" s="79" customFormat="1"/>
    <row r="1048565" s="79" customFormat="1"/>
    <row r="1048566" s="79" customFormat="1"/>
    <row r="1048567" s="79" customFormat="1"/>
    <row r="1048568" s="79" customFormat="1"/>
    <row r="1048569" s="79" customFormat="1"/>
    <row r="1048570" s="79" customFormat="1"/>
    <row r="1048571" s="79" customFormat="1"/>
    <row r="1048572" s="79" customFormat="1"/>
    <row r="1048573" s="79" customFormat="1"/>
    <row r="1048574" s="79" customFormat="1"/>
    <row r="1048575" s="79" customFormat="1"/>
    <row r="1048576" s="79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3"/>
  <sheetViews>
    <sheetView workbookViewId="0">
      <selection activeCell="H29" sqref="H29"/>
    </sheetView>
  </sheetViews>
  <sheetFormatPr defaultColWidth="10.36328125" defaultRowHeight="14.5"/>
  <cols>
    <col min="1" max="1" width="23.36328125" style="71" customWidth="1"/>
    <col min="2" max="2" width="29.54296875" style="71" customWidth="1"/>
    <col min="3" max="3" width="13.08984375" style="71" customWidth="1"/>
    <col min="4" max="4" width="11.453125" style="71" customWidth="1"/>
    <col min="5" max="5" width="19.90625" style="71" customWidth="1"/>
    <col min="6" max="6" width="17.54296875" style="71" customWidth="1"/>
    <col min="7" max="7" width="12.90625" style="71" customWidth="1"/>
    <col min="8" max="8" width="21.7265625" style="71" customWidth="1"/>
    <col min="9" max="9" width="48.54296875" style="71" customWidth="1"/>
    <col min="10" max="16384" width="10.36328125" style="71"/>
  </cols>
  <sheetData>
    <row r="1" spans="1:9">
      <c r="A1" s="72" t="s">
        <v>886</v>
      </c>
      <c r="B1" s="72" t="s">
        <v>887</v>
      </c>
      <c r="C1" s="72" t="s">
        <v>39</v>
      </c>
      <c r="D1" s="72" t="s">
        <v>273</v>
      </c>
      <c r="E1" s="72" t="s">
        <v>888</v>
      </c>
      <c r="F1" s="72" t="s">
        <v>889</v>
      </c>
      <c r="G1" s="72" t="s">
        <v>890</v>
      </c>
      <c r="H1" s="8" t="s">
        <v>891</v>
      </c>
      <c r="I1" s="13" t="s">
        <v>329</v>
      </c>
    </row>
    <row r="2" spans="1:9">
      <c r="A2" s="73">
        <v>1865272</v>
      </c>
      <c r="B2" s="74" t="s">
        <v>892</v>
      </c>
      <c r="C2" s="74" t="s">
        <v>618</v>
      </c>
      <c r="D2" s="73">
        <v>43337</v>
      </c>
      <c r="E2" s="75">
        <v>45936</v>
      </c>
      <c r="F2" s="75" t="s">
        <v>893</v>
      </c>
      <c r="G2" s="73" t="s">
        <v>894</v>
      </c>
      <c r="H2" s="73" t="s">
        <v>895</v>
      </c>
      <c r="I2" s="73" t="s">
        <v>153</v>
      </c>
    </row>
    <row r="3" spans="1:9">
      <c r="A3" s="73">
        <v>1865275</v>
      </c>
      <c r="B3" s="74" t="s">
        <v>892</v>
      </c>
      <c r="C3" s="74" t="s">
        <v>517</v>
      </c>
      <c r="D3" s="73">
        <v>43337</v>
      </c>
      <c r="E3" s="75">
        <v>45936</v>
      </c>
      <c r="F3" s="75">
        <v>45966</v>
      </c>
      <c r="G3" s="73" t="s">
        <v>894</v>
      </c>
      <c r="H3" s="73" t="s">
        <v>895</v>
      </c>
      <c r="I3" s="76" t="s">
        <v>153</v>
      </c>
    </row>
    <row r="4" spans="1:9">
      <c r="A4" s="73">
        <v>1865277</v>
      </c>
      <c r="B4" s="74" t="s">
        <v>892</v>
      </c>
      <c r="C4" s="74" t="s">
        <v>512</v>
      </c>
      <c r="D4" s="73">
        <v>43337</v>
      </c>
      <c r="E4" s="75">
        <v>45936</v>
      </c>
      <c r="F4" s="75">
        <v>45966</v>
      </c>
      <c r="G4" s="73" t="s">
        <v>894</v>
      </c>
      <c r="H4" s="73" t="s">
        <v>895</v>
      </c>
      <c r="I4" s="76" t="s">
        <v>153</v>
      </c>
    </row>
    <row r="5" spans="1:9">
      <c r="A5" s="73">
        <v>1865280</v>
      </c>
      <c r="B5" s="74" t="s">
        <v>892</v>
      </c>
      <c r="C5" s="74" t="s">
        <v>705</v>
      </c>
      <c r="D5" s="73">
        <v>43341</v>
      </c>
      <c r="E5" s="75">
        <v>45936</v>
      </c>
      <c r="F5" s="75" t="s">
        <v>896</v>
      </c>
      <c r="G5" s="73" t="s">
        <v>894</v>
      </c>
      <c r="H5" s="73" t="s">
        <v>895</v>
      </c>
      <c r="I5" s="76" t="s">
        <v>153</v>
      </c>
    </row>
    <row r="6" spans="1:9">
      <c r="A6" s="73">
        <v>1865286</v>
      </c>
      <c r="B6" s="74" t="s">
        <v>892</v>
      </c>
      <c r="C6" s="74" t="s">
        <v>394</v>
      </c>
      <c r="D6" s="73">
        <v>43337</v>
      </c>
      <c r="E6" s="75">
        <v>45936</v>
      </c>
      <c r="F6" s="75">
        <v>45973</v>
      </c>
      <c r="G6" s="73" t="s">
        <v>894</v>
      </c>
      <c r="H6" s="73" t="s">
        <v>897</v>
      </c>
      <c r="I6" s="76" t="s">
        <v>153</v>
      </c>
    </row>
    <row r="7" spans="1:9">
      <c r="A7" s="73">
        <v>1865288</v>
      </c>
      <c r="B7" s="74" t="s">
        <v>892</v>
      </c>
      <c r="C7" s="74" t="s">
        <v>331</v>
      </c>
      <c r="D7" s="73">
        <v>43337</v>
      </c>
      <c r="E7" s="75">
        <v>45936</v>
      </c>
      <c r="F7" s="75" t="s">
        <v>893</v>
      </c>
      <c r="G7" s="73" t="s">
        <v>894</v>
      </c>
      <c r="H7" s="73" t="s">
        <v>895</v>
      </c>
      <c r="I7" s="73" t="s">
        <v>153</v>
      </c>
    </row>
    <row r="8" spans="1:9">
      <c r="A8" s="73">
        <v>1865290</v>
      </c>
      <c r="B8" s="74" t="s">
        <v>892</v>
      </c>
      <c r="C8" s="74" t="s">
        <v>511</v>
      </c>
      <c r="D8" s="73">
        <v>43337</v>
      </c>
      <c r="E8" s="75">
        <v>45936</v>
      </c>
      <c r="F8" s="75" t="s">
        <v>898</v>
      </c>
      <c r="G8" s="73" t="s">
        <v>894</v>
      </c>
      <c r="H8" s="73" t="s">
        <v>895</v>
      </c>
      <c r="I8" s="73" t="s">
        <v>153</v>
      </c>
    </row>
    <row r="9" spans="1:9">
      <c r="A9" s="73">
        <v>1865291</v>
      </c>
      <c r="B9" s="74" t="s">
        <v>892</v>
      </c>
      <c r="C9" s="74" t="s">
        <v>516</v>
      </c>
      <c r="D9" s="73">
        <v>43337</v>
      </c>
      <c r="E9" s="75">
        <v>45936</v>
      </c>
      <c r="F9" s="75">
        <v>46002</v>
      </c>
      <c r="G9" s="73" t="s">
        <v>894</v>
      </c>
      <c r="H9" s="73" t="s">
        <v>895</v>
      </c>
      <c r="I9" s="76" t="s">
        <v>153</v>
      </c>
    </row>
    <row r="10" spans="1:9">
      <c r="A10" s="73">
        <v>1865295</v>
      </c>
      <c r="B10" s="74" t="s">
        <v>892</v>
      </c>
      <c r="C10" s="74" t="s">
        <v>521</v>
      </c>
      <c r="D10" s="73">
        <v>43337</v>
      </c>
      <c r="E10" s="75">
        <v>45936</v>
      </c>
      <c r="F10" s="75">
        <v>45819</v>
      </c>
      <c r="G10" s="73" t="s">
        <v>894</v>
      </c>
      <c r="H10" s="73" t="s">
        <v>895</v>
      </c>
      <c r="I10" s="76" t="s">
        <v>153</v>
      </c>
    </row>
    <row r="11" spans="1:9">
      <c r="A11" s="73">
        <v>1865297</v>
      </c>
      <c r="B11" s="74" t="s">
        <v>892</v>
      </c>
      <c r="C11" s="74" t="s">
        <v>614</v>
      </c>
      <c r="D11" s="73">
        <v>43337</v>
      </c>
      <c r="E11" s="75">
        <v>45936</v>
      </c>
      <c r="F11" s="75">
        <v>45788</v>
      </c>
      <c r="G11" s="73" t="s">
        <v>894</v>
      </c>
      <c r="H11" s="73" t="s">
        <v>895</v>
      </c>
      <c r="I11" s="76" t="s">
        <v>153</v>
      </c>
    </row>
    <row r="12" spans="1:9">
      <c r="A12" s="73">
        <v>1865299</v>
      </c>
      <c r="B12" s="74" t="s">
        <v>892</v>
      </c>
      <c r="C12" s="74" t="s">
        <v>518</v>
      </c>
      <c r="D12" s="73">
        <v>43337</v>
      </c>
      <c r="E12" s="75">
        <v>45936</v>
      </c>
      <c r="F12" s="75" t="s">
        <v>899</v>
      </c>
      <c r="G12" s="73" t="s">
        <v>894</v>
      </c>
      <c r="H12" s="73" t="s">
        <v>895</v>
      </c>
      <c r="I12" s="73" t="s">
        <v>153</v>
      </c>
    </row>
    <row r="13" spans="1:9">
      <c r="A13" s="73">
        <v>1865301</v>
      </c>
      <c r="B13" s="74" t="s">
        <v>892</v>
      </c>
      <c r="C13" s="74" t="s">
        <v>523</v>
      </c>
      <c r="D13" s="73">
        <v>43337</v>
      </c>
      <c r="E13" s="75">
        <v>45936</v>
      </c>
      <c r="F13" s="75">
        <v>45758</v>
      </c>
      <c r="G13" s="73" t="s">
        <v>894</v>
      </c>
      <c r="H13" s="73" t="s">
        <v>895</v>
      </c>
      <c r="I13" s="76" t="s">
        <v>153</v>
      </c>
    </row>
    <row r="14" spans="1:9">
      <c r="A14" s="73">
        <v>1865308</v>
      </c>
      <c r="B14" s="74" t="s">
        <v>892</v>
      </c>
      <c r="C14" s="74" t="s">
        <v>356</v>
      </c>
      <c r="D14" s="73">
        <v>43341</v>
      </c>
      <c r="E14" s="75">
        <v>45936</v>
      </c>
      <c r="F14" s="75" t="s">
        <v>900</v>
      </c>
      <c r="G14" s="73" t="s">
        <v>894</v>
      </c>
      <c r="H14" s="73" t="s">
        <v>895</v>
      </c>
      <c r="I14" s="76" t="s">
        <v>153</v>
      </c>
    </row>
    <row r="15" spans="1:9">
      <c r="A15" s="73">
        <v>1865309</v>
      </c>
      <c r="B15" s="74" t="s">
        <v>892</v>
      </c>
      <c r="C15" s="74" t="s">
        <v>588</v>
      </c>
      <c r="D15" s="73">
        <v>43341</v>
      </c>
      <c r="E15" s="75">
        <v>45936</v>
      </c>
      <c r="F15" s="75">
        <v>45941</v>
      </c>
      <c r="G15" s="73" t="s">
        <v>894</v>
      </c>
      <c r="H15" s="73" t="s">
        <v>895</v>
      </c>
      <c r="I15" s="76" t="s">
        <v>153</v>
      </c>
    </row>
    <row r="16" spans="1:9">
      <c r="A16" s="73">
        <v>1865312</v>
      </c>
      <c r="B16" s="74" t="s">
        <v>892</v>
      </c>
      <c r="C16" s="74" t="s">
        <v>565</v>
      </c>
      <c r="D16" s="73">
        <v>43341</v>
      </c>
      <c r="E16" s="75">
        <v>45936</v>
      </c>
      <c r="F16" s="75" t="s">
        <v>896</v>
      </c>
      <c r="G16" s="73" t="s">
        <v>894</v>
      </c>
      <c r="H16" s="73" t="s">
        <v>895</v>
      </c>
      <c r="I16" s="76" t="s">
        <v>153</v>
      </c>
    </row>
    <row r="17" spans="1:9">
      <c r="A17" s="73">
        <v>1865315</v>
      </c>
      <c r="B17" s="74" t="s">
        <v>892</v>
      </c>
      <c r="C17" s="74" t="s">
        <v>484</v>
      </c>
      <c r="D17" s="73">
        <v>43337</v>
      </c>
      <c r="E17" s="75">
        <v>45936</v>
      </c>
      <c r="F17" s="75" t="s">
        <v>901</v>
      </c>
      <c r="G17" s="73" t="s">
        <v>894</v>
      </c>
      <c r="H17" s="73" t="s">
        <v>897</v>
      </c>
      <c r="I17" s="76" t="s">
        <v>153</v>
      </c>
    </row>
    <row r="18" spans="1:9">
      <c r="A18" s="73">
        <v>1865319</v>
      </c>
      <c r="B18" s="74" t="s">
        <v>892</v>
      </c>
      <c r="C18" s="74" t="s">
        <v>359</v>
      </c>
      <c r="D18" s="73">
        <v>43341</v>
      </c>
      <c r="E18" s="75">
        <v>45936</v>
      </c>
      <c r="F18" s="75" t="s">
        <v>902</v>
      </c>
      <c r="G18" s="73" t="s">
        <v>894</v>
      </c>
      <c r="H18" s="73" t="s">
        <v>895</v>
      </c>
      <c r="I18" s="76" t="s">
        <v>153</v>
      </c>
    </row>
    <row r="19" spans="1:9">
      <c r="A19" s="73">
        <v>1865320</v>
      </c>
      <c r="B19" s="74" t="s">
        <v>892</v>
      </c>
      <c r="C19" s="74" t="s">
        <v>477</v>
      </c>
      <c r="D19" s="73">
        <v>43341</v>
      </c>
      <c r="E19" s="75">
        <v>45936</v>
      </c>
      <c r="F19" s="75">
        <v>45972</v>
      </c>
      <c r="G19" s="73" t="s">
        <v>894</v>
      </c>
      <c r="H19" s="73" t="s">
        <v>895</v>
      </c>
      <c r="I19" s="76" t="s">
        <v>153</v>
      </c>
    </row>
    <row r="20" spans="1:9">
      <c r="A20" s="73">
        <v>1865321</v>
      </c>
      <c r="B20" s="74" t="s">
        <v>892</v>
      </c>
      <c r="C20" s="74" t="s">
        <v>26</v>
      </c>
      <c r="D20" s="73">
        <v>43341</v>
      </c>
      <c r="E20" s="75">
        <v>45936</v>
      </c>
      <c r="F20" s="75" t="s">
        <v>900</v>
      </c>
      <c r="G20" s="73" t="s">
        <v>894</v>
      </c>
      <c r="H20" s="73" t="s">
        <v>895</v>
      </c>
      <c r="I20" s="73" t="s">
        <v>153</v>
      </c>
    </row>
    <row r="21" spans="1:9">
      <c r="A21" s="73">
        <v>1865323</v>
      </c>
      <c r="B21" s="74" t="s">
        <v>892</v>
      </c>
      <c r="C21" s="74" t="s">
        <v>352</v>
      </c>
      <c r="D21" s="73">
        <v>43337</v>
      </c>
      <c r="E21" s="75">
        <v>45936</v>
      </c>
      <c r="F21" s="75" t="s">
        <v>901</v>
      </c>
      <c r="G21" s="73" t="s">
        <v>894</v>
      </c>
      <c r="H21" s="73" t="s">
        <v>897</v>
      </c>
      <c r="I21" s="76" t="s">
        <v>153</v>
      </c>
    </row>
    <row r="22" spans="1:9">
      <c r="A22" s="73">
        <v>1865327</v>
      </c>
      <c r="B22" s="74" t="s">
        <v>892</v>
      </c>
      <c r="C22" s="74" t="s">
        <v>591</v>
      </c>
      <c r="D22" s="73">
        <v>43337</v>
      </c>
      <c r="E22" s="75">
        <v>45936</v>
      </c>
      <c r="F22" s="75" t="s">
        <v>903</v>
      </c>
      <c r="G22" s="73" t="s">
        <v>894</v>
      </c>
      <c r="H22" s="73" t="s">
        <v>895</v>
      </c>
      <c r="I22" s="76" t="s">
        <v>153</v>
      </c>
    </row>
    <row r="23" spans="1:9">
      <c r="A23" s="73">
        <v>1865329</v>
      </c>
      <c r="B23" s="74" t="s">
        <v>892</v>
      </c>
      <c r="C23" s="74" t="s">
        <v>636</v>
      </c>
      <c r="D23" s="73">
        <v>43337</v>
      </c>
      <c r="E23" s="75">
        <v>45936</v>
      </c>
      <c r="F23" s="75">
        <v>45818</v>
      </c>
      <c r="G23" s="73" t="s">
        <v>894</v>
      </c>
      <c r="H23" s="73" t="s">
        <v>895</v>
      </c>
      <c r="I23" s="76" t="s">
        <v>153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H44"/>
  <sheetViews>
    <sheetView zoomScale="80" zoomScaleNormal="80" workbookViewId="0">
      <selection activeCell="G24" sqref="G24"/>
    </sheetView>
  </sheetViews>
  <sheetFormatPr defaultColWidth="9.1796875" defaultRowHeight="14.5"/>
  <cols>
    <col min="3" max="3" width="29.81640625" customWidth="1"/>
    <col min="4" max="4" width="21.453125" customWidth="1"/>
    <col min="5" max="5" width="37.1796875" customWidth="1"/>
    <col min="6" max="6" width="9.81640625" customWidth="1"/>
    <col min="7" max="7" width="12.453125" customWidth="1"/>
    <col min="8" max="8" width="33.7265625" customWidth="1"/>
  </cols>
  <sheetData>
    <row r="1" spans="2:8" ht="46">
      <c r="D1" s="41" t="s">
        <v>197</v>
      </c>
    </row>
    <row r="3" spans="2:8">
      <c r="B3" s="42" t="s">
        <v>904</v>
      </c>
      <c r="C3" s="42" t="s">
        <v>905</v>
      </c>
      <c r="D3" s="43" t="s">
        <v>906</v>
      </c>
      <c r="E3" s="44" t="s">
        <v>907</v>
      </c>
      <c r="F3" s="44" t="s">
        <v>908</v>
      </c>
      <c r="G3" s="45" t="s">
        <v>149</v>
      </c>
      <c r="H3" s="46" t="s">
        <v>329</v>
      </c>
    </row>
    <row r="4" spans="2:8">
      <c r="B4" s="47">
        <v>1</v>
      </c>
      <c r="C4" s="47" t="s">
        <v>909</v>
      </c>
      <c r="D4" s="47" t="s">
        <v>910</v>
      </c>
      <c r="E4" s="48" t="s">
        <v>671</v>
      </c>
      <c r="F4" s="49" t="s">
        <v>911</v>
      </c>
      <c r="G4" s="50" t="s">
        <v>912</v>
      </c>
      <c r="H4" s="51"/>
    </row>
    <row r="5" spans="2:8">
      <c r="B5" s="47">
        <v>2</v>
      </c>
      <c r="C5" s="47" t="s">
        <v>913</v>
      </c>
      <c r="D5" s="47" t="s">
        <v>910</v>
      </c>
      <c r="E5" s="48" t="s">
        <v>671</v>
      </c>
      <c r="F5" s="49" t="s">
        <v>914</v>
      </c>
      <c r="G5" s="51" t="s">
        <v>280</v>
      </c>
      <c r="H5" s="51" t="s">
        <v>915</v>
      </c>
    </row>
    <row r="6" spans="2:8" ht="15.5">
      <c r="B6" s="47">
        <v>3</v>
      </c>
      <c r="C6" s="52" t="s">
        <v>916</v>
      </c>
      <c r="D6" s="47" t="s">
        <v>910</v>
      </c>
      <c r="E6" s="53" t="s">
        <v>671</v>
      </c>
      <c r="F6" s="54" t="s">
        <v>675</v>
      </c>
      <c r="G6" s="50" t="s">
        <v>912</v>
      </c>
      <c r="H6" s="55"/>
    </row>
    <row r="7" spans="2:8" ht="15.5">
      <c r="B7" s="47">
        <v>4</v>
      </c>
      <c r="C7" s="52" t="s">
        <v>207</v>
      </c>
      <c r="D7" s="47" t="s">
        <v>910</v>
      </c>
      <c r="E7" s="53" t="s">
        <v>671</v>
      </c>
      <c r="F7" s="54" t="s">
        <v>679</v>
      </c>
      <c r="G7" s="50" t="s">
        <v>912</v>
      </c>
      <c r="H7" s="55"/>
    </row>
    <row r="8" spans="2:8" ht="15.5">
      <c r="B8" s="47">
        <v>5</v>
      </c>
      <c r="C8" s="52" t="s">
        <v>917</v>
      </c>
      <c r="D8" s="47" t="s">
        <v>910</v>
      </c>
      <c r="E8" s="53" t="s">
        <v>671</v>
      </c>
      <c r="F8" s="54" t="s">
        <v>677</v>
      </c>
      <c r="G8" s="50" t="s">
        <v>912</v>
      </c>
      <c r="H8" s="55"/>
    </row>
    <row r="9" spans="2:8" ht="15.5">
      <c r="B9" s="47">
        <v>6</v>
      </c>
      <c r="C9" s="52"/>
      <c r="D9" s="47" t="s">
        <v>910</v>
      </c>
      <c r="E9" s="53" t="s">
        <v>671</v>
      </c>
      <c r="F9" s="54" t="s">
        <v>708</v>
      </c>
      <c r="G9" s="47" t="s">
        <v>912</v>
      </c>
      <c r="H9" s="55"/>
    </row>
    <row r="10" spans="2:8" ht="15.5">
      <c r="B10" s="56">
        <v>7</v>
      </c>
      <c r="C10" s="52" t="s">
        <v>918</v>
      </c>
      <c r="D10" s="56" t="s">
        <v>910</v>
      </c>
      <c r="E10" s="53" t="s">
        <v>671</v>
      </c>
      <c r="F10" s="54" t="s">
        <v>685</v>
      </c>
      <c r="G10" s="51" t="s">
        <v>919</v>
      </c>
      <c r="H10" s="55" t="s">
        <v>920</v>
      </c>
    </row>
    <row r="11" spans="2:8" ht="15.5">
      <c r="B11" s="47">
        <v>8</v>
      </c>
      <c r="C11" s="52" t="s">
        <v>921</v>
      </c>
      <c r="D11" s="47" t="s">
        <v>910</v>
      </c>
      <c r="E11" s="57" t="s">
        <v>680</v>
      </c>
      <c r="F11" s="54" t="s">
        <v>681</v>
      </c>
      <c r="G11" s="51" t="s">
        <v>280</v>
      </c>
      <c r="H11" s="55" t="s">
        <v>922</v>
      </c>
    </row>
    <row r="12" spans="2:8" ht="15.5">
      <c r="B12" s="47">
        <v>9</v>
      </c>
      <c r="C12" s="52" t="s">
        <v>923</v>
      </c>
      <c r="D12" s="47" t="s">
        <v>910</v>
      </c>
      <c r="E12" s="57" t="s">
        <v>680</v>
      </c>
      <c r="F12" s="54" t="s">
        <v>924</v>
      </c>
      <c r="G12" s="51" t="s">
        <v>280</v>
      </c>
      <c r="H12" s="55" t="s">
        <v>925</v>
      </c>
    </row>
    <row r="13" spans="2:8" ht="15.5">
      <c r="B13" s="47">
        <v>10</v>
      </c>
      <c r="C13" s="52" t="s">
        <v>926</v>
      </c>
      <c r="D13" s="47" t="s">
        <v>910</v>
      </c>
      <c r="E13" s="57" t="s">
        <v>680</v>
      </c>
      <c r="F13" s="54" t="s">
        <v>405</v>
      </c>
      <c r="G13" s="47" t="s">
        <v>912</v>
      </c>
      <c r="H13" s="55"/>
    </row>
    <row r="14" spans="2:8" ht="15.5">
      <c r="B14" s="47">
        <v>11</v>
      </c>
      <c r="C14" s="52" t="s">
        <v>927</v>
      </c>
      <c r="D14" s="47" t="s">
        <v>910</v>
      </c>
      <c r="E14" s="57" t="s">
        <v>680</v>
      </c>
      <c r="F14" s="54" t="s">
        <v>683</v>
      </c>
      <c r="G14" s="51" t="s">
        <v>280</v>
      </c>
      <c r="H14" s="55" t="s">
        <v>928</v>
      </c>
    </row>
    <row r="15" spans="2:8" ht="15.5">
      <c r="B15" s="47">
        <v>12</v>
      </c>
      <c r="C15" s="52" t="s">
        <v>929</v>
      </c>
      <c r="D15" s="47" t="s">
        <v>910</v>
      </c>
      <c r="E15" s="58" t="s">
        <v>930</v>
      </c>
      <c r="F15" s="54" t="s">
        <v>494</v>
      </c>
      <c r="G15" s="47" t="s">
        <v>912</v>
      </c>
      <c r="H15" s="55"/>
    </row>
    <row r="16" spans="2:8" ht="15.5">
      <c r="B16" s="47">
        <v>13</v>
      </c>
      <c r="C16" s="52" t="s">
        <v>929</v>
      </c>
      <c r="D16" s="47" t="s">
        <v>910</v>
      </c>
      <c r="E16" s="58" t="s">
        <v>930</v>
      </c>
      <c r="F16" s="54" t="s">
        <v>645</v>
      </c>
      <c r="G16" s="47" t="s">
        <v>912</v>
      </c>
      <c r="H16" s="55"/>
    </row>
    <row r="17" spans="2:8" ht="15.5">
      <c r="B17" s="47">
        <v>14</v>
      </c>
      <c r="C17" s="52" t="s">
        <v>921</v>
      </c>
      <c r="D17" s="47" t="s">
        <v>910</v>
      </c>
      <c r="E17" s="59" t="s">
        <v>931</v>
      </c>
      <c r="F17" s="54" t="s">
        <v>651</v>
      </c>
      <c r="G17" s="47" t="s">
        <v>912</v>
      </c>
      <c r="H17" s="55"/>
    </row>
    <row r="18" spans="2:8" ht="15.5">
      <c r="B18" s="47">
        <v>15</v>
      </c>
      <c r="C18" s="52" t="s">
        <v>932</v>
      </c>
      <c r="D18" s="47" t="s">
        <v>910</v>
      </c>
      <c r="E18" s="59" t="s">
        <v>931</v>
      </c>
      <c r="F18" s="54" t="s">
        <v>653</v>
      </c>
      <c r="G18" s="51" t="s">
        <v>280</v>
      </c>
      <c r="H18" s="55" t="s">
        <v>933</v>
      </c>
    </row>
    <row r="19" spans="2:8" ht="15.5">
      <c r="B19" s="47">
        <v>16</v>
      </c>
      <c r="C19" s="52" t="s">
        <v>934</v>
      </c>
      <c r="D19" s="47" t="s">
        <v>910</v>
      </c>
      <c r="E19" s="59" t="s">
        <v>931</v>
      </c>
      <c r="F19" s="54" t="s">
        <v>655</v>
      </c>
      <c r="G19" s="47" t="s">
        <v>912</v>
      </c>
      <c r="H19" s="55"/>
    </row>
    <row r="20" spans="2:8" ht="15.5">
      <c r="B20" s="47">
        <v>17</v>
      </c>
      <c r="C20" s="52" t="s">
        <v>935</v>
      </c>
      <c r="D20" s="47" t="s">
        <v>910</v>
      </c>
      <c r="E20" s="60" t="s">
        <v>936</v>
      </c>
      <c r="F20" s="54" t="s">
        <v>658</v>
      </c>
      <c r="G20" s="47" t="s">
        <v>912</v>
      </c>
      <c r="H20" s="55"/>
    </row>
    <row r="21" spans="2:8" ht="15.5">
      <c r="B21" s="47">
        <v>18</v>
      </c>
      <c r="C21" s="52" t="s">
        <v>937</v>
      </c>
      <c r="D21" s="47" t="s">
        <v>910</v>
      </c>
      <c r="E21" s="61" t="s">
        <v>938</v>
      </c>
      <c r="F21" s="54" t="s">
        <v>643</v>
      </c>
      <c r="G21" s="47" t="s">
        <v>912</v>
      </c>
      <c r="H21" s="55"/>
    </row>
    <row r="22" spans="2:8" ht="15.75">
      <c r="B22" s="47">
        <v>19</v>
      </c>
      <c r="C22" s="52" t="s">
        <v>939</v>
      </c>
      <c r="D22" s="47" t="s">
        <v>910</v>
      </c>
      <c r="E22" s="61" t="s">
        <v>938</v>
      </c>
      <c r="F22" s="54" t="s">
        <v>492</v>
      </c>
      <c r="G22" s="47" t="s">
        <v>912</v>
      </c>
      <c r="H22" s="55"/>
    </row>
    <row r="23" spans="2:8" ht="15.75">
      <c r="B23" s="47">
        <v>20</v>
      </c>
      <c r="C23" s="52" t="s">
        <v>940</v>
      </c>
      <c r="D23" s="47" t="s">
        <v>910</v>
      </c>
      <c r="E23" s="644" t="s">
        <v>941</v>
      </c>
      <c r="F23" s="54" t="s">
        <v>649</v>
      </c>
      <c r="G23" s="47" t="s">
        <v>912</v>
      </c>
      <c r="H23" s="55"/>
    </row>
    <row r="24" spans="2:8" ht="15.75">
      <c r="B24" s="47">
        <v>21</v>
      </c>
      <c r="C24" s="52" t="s">
        <v>940</v>
      </c>
      <c r="D24" s="47" t="s">
        <v>910</v>
      </c>
      <c r="E24" s="644" t="s">
        <v>941</v>
      </c>
      <c r="F24" s="54" t="s">
        <v>572</v>
      </c>
      <c r="G24" s="47" t="s">
        <v>912</v>
      </c>
      <c r="H24" s="55"/>
    </row>
    <row r="25" spans="2:8" ht="15.75">
      <c r="B25" s="47">
        <v>22</v>
      </c>
      <c r="C25" s="52" t="s">
        <v>940</v>
      </c>
      <c r="D25" s="47" t="s">
        <v>910</v>
      </c>
      <c r="E25" s="644" t="s">
        <v>941</v>
      </c>
      <c r="F25" s="54" t="s">
        <v>664</v>
      </c>
      <c r="G25" s="47" t="s">
        <v>912</v>
      </c>
      <c r="H25" s="55"/>
    </row>
    <row r="26" spans="2:8" ht="15.75">
      <c r="B26" s="47">
        <v>23</v>
      </c>
      <c r="C26" s="52" t="s">
        <v>940</v>
      </c>
      <c r="D26" s="47" t="s">
        <v>910</v>
      </c>
      <c r="E26" s="644" t="s">
        <v>941</v>
      </c>
      <c r="F26" s="54" t="s">
        <v>666</v>
      </c>
      <c r="G26" s="51" t="s">
        <v>280</v>
      </c>
      <c r="H26" s="55" t="s">
        <v>942</v>
      </c>
    </row>
    <row r="27" spans="2:8" ht="15.75">
      <c r="B27" s="47">
        <v>24</v>
      </c>
      <c r="C27" s="52" t="s">
        <v>923</v>
      </c>
      <c r="D27" s="47" t="s">
        <v>910</v>
      </c>
      <c r="E27" s="62" t="s">
        <v>943</v>
      </c>
      <c r="F27" s="54" t="s">
        <v>662</v>
      </c>
      <c r="G27" s="47" t="s">
        <v>912</v>
      </c>
      <c r="H27" s="55"/>
    </row>
    <row r="28" spans="2:8" ht="15.75">
      <c r="B28" s="47">
        <v>25</v>
      </c>
      <c r="C28" s="52" t="s">
        <v>940</v>
      </c>
      <c r="D28" s="63" t="s">
        <v>910</v>
      </c>
      <c r="E28" s="64" t="s">
        <v>659</v>
      </c>
      <c r="F28" s="54" t="s">
        <v>660</v>
      </c>
      <c r="G28" s="47" t="s">
        <v>912</v>
      </c>
      <c r="H28" s="55"/>
    </row>
    <row r="29" spans="2:8" ht="15.75">
      <c r="B29" s="47">
        <v>26</v>
      </c>
      <c r="C29" s="52" t="s">
        <v>944</v>
      </c>
      <c r="D29" s="65" t="s">
        <v>945</v>
      </c>
      <c r="E29" s="66" t="s">
        <v>946</v>
      </c>
      <c r="F29" s="67" t="s">
        <v>947</v>
      </c>
      <c r="G29" s="47" t="s">
        <v>912</v>
      </c>
      <c r="H29" s="55"/>
    </row>
    <row r="30" spans="2:8">
      <c r="B30" s="47">
        <v>27</v>
      </c>
      <c r="C30" s="52" t="s">
        <v>948</v>
      </c>
      <c r="D30" s="65" t="s">
        <v>945</v>
      </c>
      <c r="E30" s="68" t="s">
        <v>949</v>
      </c>
      <c r="F30" s="645" t="s">
        <v>950</v>
      </c>
      <c r="G30" s="51" t="s">
        <v>280</v>
      </c>
      <c r="H30" s="55" t="s">
        <v>951</v>
      </c>
    </row>
    <row r="31" spans="2:8">
      <c r="B31" s="47">
        <v>28</v>
      </c>
      <c r="C31" s="52" t="s">
        <v>952</v>
      </c>
      <c r="D31" s="65" t="s">
        <v>945</v>
      </c>
      <c r="E31" s="68" t="s">
        <v>949</v>
      </c>
      <c r="F31" s="645" t="s">
        <v>688</v>
      </c>
      <c r="G31" s="47" t="s">
        <v>912</v>
      </c>
      <c r="H31" s="55"/>
    </row>
    <row r="32" spans="2:8">
      <c r="B32" s="47">
        <v>29</v>
      </c>
      <c r="C32" s="52" t="s">
        <v>927</v>
      </c>
      <c r="D32" s="65" t="s">
        <v>945</v>
      </c>
      <c r="E32" s="68" t="s">
        <v>949</v>
      </c>
      <c r="F32" s="645" t="s">
        <v>689</v>
      </c>
      <c r="G32" s="47" t="s">
        <v>912</v>
      </c>
      <c r="H32" s="55"/>
    </row>
    <row r="33" spans="2:8">
      <c r="B33" s="47">
        <v>30</v>
      </c>
      <c r="C33" s="52" t="s">
        <v>944</v>
      </c>
      <c r="D33" s="65" t="s">
        <v>945</v>
      </c>
      <c r="E33" s="68" t="s">
        <v>949</v>
      </c>
      <c r="F33" s="645" t="s">
        <v>690</v>
      </c>
      <c r="G33" s="47" t="s">
        <v>912</v>
      </c>
      <c r="H33" s="55"/>
    </row>
    <row r="34" spans="2:8">
      <c r="B34" s="47">
        <v>31</v>
      </c>
      <c r="C34" s="52" t="s">
        <v>948</v>
      </c>
      <c r="D34" s="65" t="s">
        <v>945</v>
      </c>
      <c r="E34" s="68" t="s">
        <v>949</v>
      </c>
      <c r="F34" s="645" t="s">
        <v>691</v>
      </c>
      <c r="G34" s="47" t="s">
        <v>912</v>
      </c>
      <c r="H34" s="55"/>
    </row>
    <row r="35" spans="2:8">
      <c r="B35" s="47">
        <v>32</v>
      </c>
      <c r="C35" s="52" t="s">
        <v>953</v>
      </c>
      <c r="D35" s="65" t="s">
        <v>945</v>
      </c>
      <c r="E35" s="68" t="s">
        <v>949</v>
      </c>
      <c r="F35" s="645" t="s">
        <v>692</v>
      </c>
      <c r="G35" s="47" t="s">
        <v>912</v>
      </c>
      <c r="H35" s="55"/>
    </row>
    <row r="36" spans="2:8">
      <c r="B36" s="56">
        <v>33</v>
      </c>
      <c r="C36" s="52" t="s">
        <v>954</v>
      </c>
      <c r="D36" s="65" t="s">
        <v>945</v>
      </c>
      <c r="E36" s="68" t="s">
        <v>949</v>
      </c>
      <c r="F36" s="645" t="s">
        <v>693</v>
      </c>
      <c r="G36" s="47" t="s">
        <v>912</v>
      </c>
      <c r="H36" s="55"/>
    </row>
    <row r="37" spans="2:8">
      <c r="B37" s="47">
        <v>34</v>
      </c>
      <c r="C37" s="52" t="s">
        <v>955</v>
      </c>
      <c r="D37" s="65" t="s">
        <v>945</v>
      </c>
      <c r="E37" s="68" t="s">
        <v>956</v>
      </c>
      <c r="F37" s="645" t="s">
        <v>957</v>
      </c>
      <c r="G37" s="47" t="s">
        <v>912</v>
      </c>
      <c r="H37" s="55"/>
    </row>
    <row r="38" spans="2:8">
      <c r="B38" s="47">
        <v>35</v>
      </c>
      <c r="C38" s="52" t="s">
        <v>926</v>
      </c>
      <c r="D38" s="65" t="s">
        <v>945</v>
      </c>
      <c r="E38" s="68" t="s">
        <v>958</v>
      </c>
      <c r="F38" s="646" t="s">
        <v>959</v>
      </c>
      <c r="G38" s="47" t="s">
        <v>912</v>
      </c>
      <c r="H38" s="55"/>
    </row>
    <row r="39" spans="2:8">
      <c r="B39" s="47">
        <v>36</v>
      </c>
      <c r="C39" s="52" t="s">
        <v>960</v>
      </c>
      <c r="D39" s="65" t="s">
        <v>945</v>
      </c>
      <c r="E39" s="68" t="s">
        <v>949</v>
      </c>
      <c r="F39" s="646" t="s">
        <v>961</v>
      </c>
      <c r="G39" s="47" t="s">
        <v>912</v>
      </c>
      <c r="H39" s="55"/>
    </row>
    <row r="40" spans="2:8">
      <c r="B40" s="47">
        <v>37</v>
      </c>
      <c r="C40" s="52" t="s">
        <v>962</v>
      </c>
      <c r="D40" s="65" t="s">
        <v>945</v>
      </c>
      <c r="E40" s="68" t="s">
        <v>949</v>
      </c>
      <c r="F40" s="646" t="s">
        <v>963</v>
      </c>
      <c r="G40" s="47" t="s">
        <v>912</v>
      </c>
      <c r="H40" s="55"/>
    </row>
    <row r="41" spans="2:8">
      <c r="B41" s="47">
        <v>38</v>
      </c>
      <c r="C41" s="70" t="s">
        <v>964</v>
      </c>
      <c r="D41" s="65" t="s">
        <v>945</v>
      </c>
      <c r="E41" s="68" t="s">
        <v>965</v>
      </c>
      <c r="F41" s="646" t="s">
        <v>966</v>
      </c>
      <c r="G41" s="47" t="s">
        <v>912</v>
      </c>
      <c r="H41" s="55"/>
    </row>
    <row r="42" spans="2:8">
      <c r="B42" s="47">
        <v>39</v>
      </c>
      <c r="C42" s="52" t="s">
        <v>967</v>
      </c>
      <c r="D42" s="65" t="s">
        <v>945</v>
      </c>
      <c r="E42" s="68" t="s">
        <v>968</v>
      </c>
      <c r="F42" s="646" t="s">
        <v>969</v>
      </c>
      <c r="G42" s="51" t="s">
        <v>280</v>
      </c>
      <c r="H42" s="55" t="s">
        <v>970</v>
      </c>
    </row>
    <row r="43" spans="2:8">
      <c r="B43" s="65">
        <v>40</v>
      </c>
      <c r="C43" s="65" t="s">
        <v>971</v>
      </c>
      <c r="D43" s="65" t="s">
        <v>945</v>
      </c>
      <c r="E43" s="68" t="s">
        <v>968</v>
      </c>
      <c r="F43" s="65" t="s">
        <v>699</v>
      </c>
      <c r="G43" s="47" t="s">
        <v>912</v>
      </c>
      <c r="H43" s="55"/>
    </row>
    <row r="44" spans="2:8">
      <c r="B44" s="65">
        <v>41</v>
      </c>
      <c r="C44" s="65" t="s">
        <v>918</v>
      </c>
      <c r="D44" s="65" t="s">
        <v>945</v>
      </c>
      <c r="E44" s="68" t="s">
        <v>968</v>
      </c>
      <c r="F44" s="65" t="s">
        <v>491</v>
      </c>
      <c r="G44" s="47" t="s">
        <v>912</v>
      </c>
      <c r="H44" s="5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48"/>
  <sheetViews>
    <sheetView topLeftCell="A19" zoomScale="80" zoomScaleNormal="80" workbookViewId="0">
      <selection activeCell="D60" sqref="D60"/>
    </sheetView>
  </sheetViews>
  <sheetFormatPr defaultColWidth="9" defaultRowHeight="14.5"/>
  <cols>
    <col min="1" max="1" width="88" customWidth="1"/>
    <col min="2" max="2" width="7.08984375" customWidth="1"/>
    <col min="3" max="3" width="22.90625" customWidth="1"/>
    <col min="4" max="4" width="47.453125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08984375" customWidth="1"/>
    <col min="11" max="11" width="26" style="25" customWidth="1"/>
    <col min="12" max="13" width="11.453125" customWidth="1"/>
  </cols>
  <sheetData>
    <row r="1" spans="1:11">
      <c r="A1" s="26" t="s">
        <v>972</v>
      </c>
      <c r="B1" s="26" t="s">
        <v>553</v>
      </c>
      <c r="C1" s="26" t="s">
        <v>973</v>
      </c>
      <c r="D1" s="26" t="s">
        <v>974</v>
      </c>
      <c r="E1" s="26" t="s">
        <v>975</v>
      </c>
      <c r="F1" s="26" t="s">
        <v>976</v>
      </c>
      <c r="G1" s="26" t="s">
        <v>977</v>
      </c>
      <c r="H1" s="26" t="s">
        <v>978</v>
      </c>
      <c r="I1" s="26" t="s">
        <v>979</v>
      </c>
      <c r="J1" s="26" t="s">
        <v>980</v>
      </c>
      <c r="K1" s="37" t="s">
        <v>715</v>
      </c>
    </row>
    <row r="2" spans="1:11" ht="15.5">
      <c r="A2" s="27" t="s">
        <v>981</v>
      </c>
      <c r="B2" s="28" t="s">
        <v>982</v>
      </c>
      <c r="C2" s="29">
        <v>807100028207</v>
      </c>
      <c r="D2" t="s">
        <v>983</v>
      </c>
      <c r="E2" t="s">
        <v>568</v>
      </c>
      <c r="F2" t="s">
        <v>568</v>
      </c>
      <c r="H2" t="s">
        <v>568</v>
      </c>
      <c r="I2" t="s">
        <v>984</v>
      </c>
      <c r="J2" s="38"/>
      <c r="K2" s="39">
        <v>45548</v>
      </c>
    </row>
    <row r="3" spans="1:11" ht="15.5">
      <c r="A3" s="27" t="s">
        <v>985</v>
      </c>
      <c r="B3" s="28"/>
      <c r="C3" s="29">
        <v>807100029214</v>
      </c>
      <c r="D3" t="s">
        <v>986</v>
      </c>
      <c r="K3" s="39">
        <v>45365</v>
      </c>
    </row>
    <row r="4" spans="1:11" ht="15.5">
      <c r="A4" s="27" t="s">
        <v>987</v>
      </c>
      <c r="B4" s="28" t="s">
        <v>982</v>
      </c>
      <c r="C4" s="29">
        <v>807120222011</v>
      </c>
      <c r="D4" t="s">
        <v>988</v>
      </c>
      <c r="E4" t="s">
        <v>124</v>
      </c>
      <c r="K4" s="39">
        <v>46370</v>
      </c>
    </row>
    <row r="5" spans="1:11" ht="15.5">
      <c r="A5" s="27" t="s">
        <v>989</v>
      </c>
      <c r="B5" s="28" t="s">
        <v>982</v>
      </c>
      <c r="C5" s="29">
        <v>807120242002</v>
      </c>
      <c r="D5" t="s">
        <v>990</v>
      </c>
      <c r="E5" t="s">
        <v>568</v>
      </c>
      <c r="F5" t="s">
        <v>568</v>
      </c>
      <c r="K5" s="39">
        <v>45555</v>
      </c>
    </row>
    <row r="6" spans="1:11" ht="15.5">
      <c r="A6" s="27" t="s">
        <v>991</v>
      </c>
      <c r="B6" s="28" t="s">
        <v>982</v>
      </c>
      <c r="C6" s="29">
        <v>807120232005</v>
      </c>
      <c r="D6" t="s">
        <v>992</v>
      </c>
      <c r="E6" t="s">
        <v>568</v>
      </c>
      <c r="H6" t="s">
        <v>568</v>
      </c>
      <c r="K6" s="39">
        <v>45632</v>
      </c>
    </row>
    <row r="7" spans="1:11" ht="15.5">
      <c r="A7" s="27" t="s">
        <v>993</v>
      </c>
      <c r="B7" s="28"/>
      <c r="C7" s="29">
        <v>807120242001</v>
      </c>
      <c r="D7" s="30" t="s">
        <v>994</v>
      </c>
      <c r="E7" t="s">
        <v>568</v>
      </c>
      <c r="F7" t="s">
        <v>568</v>
      </c>
      <c r="H7" t="s">
        <v>721</v>
      </c>
      <c r="I7" t="s">
        <v>995</v>
      </c>
      <c r="J7" t="s">
        <v>996</v>
      </c>
      <c r="K7" s="39" t="s">
        <v>997</v>
      </c>
    </row>
    <row r="8" spans="1:11" ht="15.5">
      <c r="A8" s="27" t="s">
        <v>998</v>
      </c>
      <c r="B8" s="28" t="s">
        <v>982</v>
      </c>
      <c r="C8" s="29">
        <v>807120242003</v>
      </c>
      <c r="D8" t="s">
        <v>999</v>
      </c>
      <c r="E8" t="s">
        <v>124</v>
      </c>
      <c r="K8" s="39">
        <v>45835</v>
      </c>
    </row>
    <row r="9" spans="1:11" ht="15.5">
      <c r="A9" s="27" t="s">
        <v>1000</v>
      </c>
      <c r="B9" s="28" t="s">
        <v>982</v>
      </c>
      <c r="C9" s="29">
        <v>807120242004</v>
      </c>
      <c r="D9" t="s">
        <v>1001</v>
      </c>
      <c r="E9" t="s">
        <v>124</v>
      </c>
      <c r="K9" s="39">
        <v>45835</v>
      </c>
    </row>
    <row r="10" spans="1:11" ht="15.5">
      <c r="A10" s="27" t="s">
        <v>1002</v>
      </c>
      <c r="B10" s="28" t="s">
        <v>1003</v>
      </c>
      <c r="C10" s="29">
        <v>807120230021</v>
      </c>
      <c r="D10" s="30" t="s">
        <v>994</v>
      </c>
      <c r="E10" t="s">
        <v>568</v>
      </c>
      <c r="F10" t="s">
        <v>568</v>
      </c>
      <c r="G10" t="s">
        <v>568</v>
      </c>
      <c r="H10" t="s">
        <v>568</v>
      </c>
      <c r="I10" t="s">
        <v>568</v>
      </c>
      <c r="J10" t="s">
        <v>568</v>
      </c>
      <c r="K10" s="39" t="s">
        <v>1004</v>
      </c>
    </row>
    <row r="11" spans="1:11" ht="15.5">
      <c r="A11" s="27" t="s">
        <v>1005</v>
      </c>
      <c r="B11" s="28"/>
      <c r="C11" s="29">
        <v>807120230022</v>
      </c>
      <c r="D11" t="s">
        <v>1006</v>
      </c>
      <c r="E11" t="s">
        <v>124</v>
      </c>
      <c r="K11" s="39">
        <v>45492</v>
      </c>
    </row>
    <row r="12" spans="1:11" ht="15.5">
      <c r="A12" s="27" t="s">
        <v>1007</v>
      </c>
      <c r="B12" s="28" t="s">
        <v>982</v>
      </c>
      <c r="C12" s="29">
        <v>807120240014</v>
      </c>
      <c r="D12" s="30" t="s">
        <v>994</v>
      </c>
      <c r="G12" t="s">
        <v>721</v>
      </c>
      <c r="H12" t="s">
        <v>721</v>
      </c>
      <c r="I12" t="s">
        <v>1008</v>
      </c>
      <c r="J12" s="40" t="s">
        <v>1009</v>
      </c>
      <c r="K12" s="39"/>
    </row>
    <row r="13" spans="1:11" ht="15.5">
      <c r="A13" s="31" t="s">
        <v>1010</v>
      </c>
      <c r="B13" s="28" t="s">
        <v>1003</v>
      </c>
      <c r="C13" s="29">
        <v>807120230008</v>
      </c>
      <c r="D13" s="32" t="s">
        <v>994</v>
      </c>
      <c r="E13" t="s">
        <v>568</v>
      </c>
      <c r="F13" t="s">
        <v>568</v>
      </c>
      <c r="H13" t="s">
        <v>568</v>
      </c>
      <c r="I13" t="s">
        <v>568</v>
      </c>
      <c r="J13" t="s">
        <v>568</v>
      </c>
      <c r="K13" s="25" t="s">
        <v>1011</v>
      </c>
    </row>
    <row r="14" spans="1:11" ht="15.5">
      <c r="A14" s="27" t="s">
        <v>1012</v>
      </c>
      <c r="B14" s="28" t="s">
        <v>982</v>
      </c>
      <c r="C14" s="29">
        <v>807120240007</v>
      </c>
      <c r="D14" s="30" t="s">
        <v>994</v>
      </c>
      <c r="E14" t="s">
        <v>568</v>
      </c>
      <c r="F14" t="s">
        <v>568</v>
      </c>
      <c r="I14" t="s">
        <v>1013</v>
      </c>
      <c r="J14" t="s">
        <v>1014</v>
      </c>
      <c r="K14" s="39">
        <v>45856</v>
      </c>
    </row>
    <row r="15" spans="1:11" ht="15.5">
      <c r="A15" s="27" t="s">
        <v>1015</v>
      </c>
      <c r="B15" s="28" t="s">
        <v>982</v>
      </c>
      <c r="C15" s="29">
        <v>807120240008</v>
      </c>
      <c r="D15" s="33" t="s">
        <v>1016</v>
      </c>
      <c r="E15" t="s">
        <v>568</v>
      </c>
      <c r="F15" t="s">
        <v>568</v>
      </c>
      <c r="K15" s="39">
        <v>45856</v>
      </c>
    </row>
    <row r="16" spans="1:11" ht="15.5">
      <c r="A16" s="27" t="s">
        <v>1017</v>
      </c>
      <c r="B16" s="28" t="s">
        <v>982</v>
      </c>
      <c r="C16" s="29">
        <v>807120240009</v>
      </c>
      <c r="D16" t="s">
        <v>1018</v>
      </c>
      <c r="E16" t="s">
        <v>568</v>
      </c>
      <c r="F16" t="s">
        <v>568</v>
      </c>
      <c r="I16" t="s">
        <v>1019</v>
      </c>
      <c r="J16" t="s">
        <v>1020</v>
      </c>
      <c r="K16" s="39">
        <v>45856</v>
      </c>
    </row>
    <row r="17" spans="1:11" ht="15.5">
      <c r="A17" s="27" t="s">
        <v>1021</v>
      </c>
      <c r="B17" s="28" t="s">
        <v>982</v>
      </c>
      <c r="C17" s="29">
        <v>807120240010</v>
      </c>
      <c r="D17" s="30" t="s">
        <v>1022</v>
      </c>
      <c r="E17" t="s">
        <v>568</v>
      </c>
      <c r="F17" t="s">
        <v>568</v>
      </c>
      <c r="H17" t="s">
        <v>568</v>
      </c>
      <c r="I17" t="s">
        <v>1023</v>
      </c>
      <c r="J17" t="s">
        <v>1024</v>
      </c>
      <c r="K17" s="39">
        <v>45531</v>
      </c>
    </row>
    <row r="18" spans="1:11" ht="15.5">
      <c r="A18" s="27" t="s">
        <v>1025</v>
      </c>
      <c r="B18" s="28" t="s">
        <v>982</v>
      </c>
      <c r="C18" s="29">
        <v>807120240011</v>
      </c>
      <c r="D18" t="s">
        <v>1026</v>
      </c>
      <c r="E18" t="s">
        <v>124</v>
      </c>
      <c r="K18" s="39">
        <v>45856</v>
      </c>
    </row>
    <row r="19" spans="1:11" ht="15.5">
      <c r="A19" s="27" t="s">
        <v>1027</v>
      </c>
      <c r="B19" s="28" t="s">
        <v>982</v>
      </c>
      <c r="C19" s="29">
        <v>807120240012</v>
      </c>
      <c r="D19" s="30" t="s">
        <v>994</v>
      </c>
      <c r="E19" t="s">
        <v>568</v>
      </c>
      <c r="F19" t="s">
        <v>568</v>
      </c>
      <c r="G19" t="s">
        <v>568</v>
      </c>
      <c r="H19" t="s">
        <v>568</v>
      </c>
      <c r="I19" t="s">
        <v>568</v>
      </c>
      <c r="J19" t="s">
        <v>568</v>
      </c>
      <c r="K19" s="25" t="s">
        <v>1028</v>
      </c>
    </row>
    <row r="20" spans="1:11" ht="15.5">
      <c r="A20" s="27" t="s">
        <v>1029</v>
      </c>
      <c r="B20" s="28" t="s">
        <v>982</v>
      </c>
      <c r="C20" s="29">
        <v>807120240013</v>
      </c>
      <c r="D20" s="30" t="s">
        <v>994</v>
      </c>
      <c r="E20" t="s">
        <v>568</v>
      </c>
      <c r="F20" t="s">
        <v>1030</v>
      </c>
      <c r="G20" t="s">
        <v>568</v>
      </c>
      <c r="H20" t="s">
        <v>568</v>
      </c>
      <c r="I20" t="s">
        <v>568</v>
      </c>
      <c r="J20" t="s">
        <v>1030</v>
      </c>
      <c r="K20" s="25" t="s">
        <v>1028</v>
      </c>
    </row>
    <row r="21" spans="1:11" ht="15.5">
      <c r="A21" s="27" t="s">
        <v>1031</v>
      </c>
      <c r="B21" s="28" t="s">
        <v>1003</v>
      </c>
      <c r="C21" s="29">
        <v>807120242010</v>
      </c>
      <c r="D21" t="s">
        <v>1032</v>
      </c>
      <c r="E21" t="s">
        <v>568</v>
      </c>
      <c r="F21" t="s">
        <v>1030</v>
      </c>
      <c r="G21" t="s">
        <v>721</v>
      </c>
      <c r="H21" t="s">
        <v>721</v>
      </c>
      <c r="I21" t="s">
        <v>1033</v>
      </c>
      <c r="J21" t="s">
        <v>1034</v>
      </c>
      <c r="K21" s="39" t="s">
        <v>1035</v>
      </c>
    </row>
    <row r="22" spans="1:11" ht="15.5">
      <c r="A22" s="27" t="s">
        <v>1036</v>
      </c>
      <c r="B22" s="29" t="s">
        <v>982</v>
      </c>
      <c r="C22" s="29">
        <v>807120230023</v>
      </c>
      <c r="D22" t="s">
        <v>1037</v>
      </c>
      <c r="E22" t="s">
        <v>1030</v>
      </c>
      <c r="F22" t="s">
        <v>1030</v>
      </c>
      <c r="G22" t="s">
        <v>1030</v>
      </c>
      <c r="H22" t="s">
        <v>1030</v>
      </c>
      <c r="I22" t="s">
        <v>1038</v>
      </c>
      <c r="J22" t="s">
        <v>1039</v>
      </c>
      <c r="K22" s="25" t="s">
        <v>1040</v>
      </c>
    </row>
    <row r="23" spans="1:11" ht="15.5">
      <c r="A23" s="27" t="s">
        <v>1041</v>
      </c>
      <c r="B23" s="29" t="s">
        <v>982</v>
      </c>
      <c r="C23" s="29">
        <v>807120242011</v>
      </c>
      <c r="D23" s="30" t="s">
        <v>1042</v>
      </c>
      <c r="E23" t="s">
        <v>568</v>
      </c>
      <c r="F23" t="s">
        <v>568</v>
      </c>
      <c r="I23" t="s">
        <v>1043</v>
      </c>
      <c r="J23" t="s">
        <v>1044</v>
      </c>
      <c r="K23" s="25" t="s">
        <v>1045</v>
      </c>
    </row>
    <row r="24" spans="1:11" ht="15.5">
      <c r="A24" s="27" t="s">
        <v>1046</v>
      </c>
      <c r="B24" s="29" t="s">
        <v>982</v>
      </c>
      <c r="C24" s="29">
        <v>807120242013</v>
      </c>
      <c r="D24" s="30" t="s">
        <v>994</v>
      </c>
      <c r="I24" t="s">
        <v>1047</v>
      </c>
      <c r="J24" t="s">
        <v>1048</v>
      </c>
      <c r="K24" s="25" t="s">
        <v>1049</v>
      </c>
    </row>
    <row r="25" spans="1:11" ht="15.5">
      <c r="A25" s="27" t="s">
        <v>1050</v>
      </c>
      <c r="B25" s="29" t="s">
        <v>982</v>
      </c>
      <c r="C25" s="29">
        <v>807120242014</v>
      </c>
      <c r="D25" s="30" t="s">
        <v>994</v>
      </c>
      <c r="E25" t="s">
        <v>568</v>
      </c>
      <c r="F25" t="s">
        <v>568</v>
      </c>
      <c r="G25" t="s">
        <v>568</v>
      </c>
      <c r="H25" t="s">
        <v>568</v>
      </c>
      <c r="I25" t="s">
        <v>1051</v>
      </c>
      <c r="J25" t="s">
        <v>1052</v>
      </c>
      <c r="K25" s="25" t="s">
        <v>1053</v>
      </c>
    </row>
    <row r="26" spans="1:11" ht="15.5">
      <c r="A26" s="27" t="s">
        <v>1054</v>
      </c>
      <c r="B26" s="29" t="s">
        <v>982</v>
      </c>
      <c r="C26" s="29">
        <v>807120242015</v>
      </c>
      <c r="D26" s="30" t="s">
        <v>994</v>
      </c>
      <c r="E26" t="s">
        <v>568</v>
      </c>
      <c r="F26" t="s">
        <v>568</v>
      </c>
      <c r="G26" t="s">
        <v>568</v>
      </c>
      <c r="H26" t="s">
        <v>568</v>
      </c>
      <c r="I26" t="s">
        <v>1055</v>
      </c>
      <c r="J26" t="s">
        <v>1056</v>
      </c>
      <c r="K26" s="25" t="s">
        <v>1053</v>
      </c>
    </row>
    <row r="27" spans="1:11" ht="15.5">
      <c r="A27" s="27" t="s">
        <v>1057</v>
      </c>
      <c r="B27" s="29" t="s">
        <v>982</v>
      </c>
      <c r="C27" s="29">
        <v>807120242016</v>
      </c>
      <c r="D27" s="30" t="s">
        <v>994</v>
      </c>
      <c r="E27" t="s">
        <v>568</v>
      </c>
      <c r="F27" t="s">
        <v>568</v>
      </c>
      <c r="I27" t="s">
        <v>1058</v>
      </c>
      <c r="J27" s="17" t="s">
        <v>1059</v>
      </c>
      <c r="K27" s="25" t="s">
        <v>1060</v>
      </c>
    </row>
    <row r="28" spans="1:11" ht="15.5">
      <c r="A28" s="27" t="s">
        <v>1061</v>
      </c>
      <c r="B28" s="28" t="s">
        <v>982</v>
      </c>
      <c r="C28" s="29">
        <v>807120242012</v>
      </c>
      <c r="D28" s="30" t="s">
        <v>1042</v>
      </c>
      <c r="E28" t="s">
        <v>568</v>
      </c>
      <c r="F28" t="s">
        <v>568</v>
      </c>
      <c r="G28" t="s">
        <v>568</v>
      </c>
      <c r="H28" t="s">
        <v>568</v>
      </c>
      <c r="I28" t="s">
        <v>1062</v>
      </c>
      <c r="J28" t="s">
        <v>1063</v>
      </c>
      <c r="K28" s="25" t="s">
        <v>1045</v>
      </c>
    </row>
    <row r="29" spans="1:11" ht="15.5">
      <c r="A29" s="27" t="s">
        <v>1064</v>
      </c>
      <c r="B29" s="28" t="s">
        <v>982</v>
      </c>
      <c r="C29" s="29">
        <v>807120250006</v>
      </c>
      <c r="D29" s="30" t="s">
        <v>994</v>
      </c>
      <c r="E29" t="s">
        <v>568</v>
      </c>
      <c r="F29" t="s">
        <v>568</v>
      </c>
      <c r="I29" t="s">
        <v>1065</v>
      </c>
      <c r="J29" t="s">
        <v>1066</v>
      </c>
      <c r="K29" s="25" t="s">
        <v>1067</v>
      </c>
    </row>
    <row r="30" spans="1:11" ht="15.5">
      <c r="A30" s="27" t="s">
        <v>1068</v>
      </c>
      <c r="B30" s="28" t="s">
        <v>982</v>
      </c>
      <c r="C30" s="29">
        <v>807120250007</v>
      </c>
      <c r="D30" s="30" t="s">
        <v>994</v>
      </c>
      <c r="E30" t="s">
        <v>568</v>
      </c>
      <c r="F30" t="s">
        <v>568</v>
      </c>
      <c r="G30" t="s">
        <v>568</v>
      </c>
      <c r="H30" t="s">
        <v>568</v>
      </c>
      <c r="I30" t="s">
        <v>1069</v>
      </c>
      <c r="J30" t="s">
        <v>1070</v>
      </c>
      <c r="K30" s="25" t="s">
        <v>1071</v>
      </c>
    </row>
    <row r="31" spans="1:11" ht="15.5">
      <c r="A31" s="27" t="s">
        <v>1072</v>
      </c>
      <c r="B31" s="28" t="s">
        <v>982</v>
      </c>
      <c r="C31" s="29">
        <v>807120250008</v>
      </c>
      <c r="D31" s="30" t="s">
        <v>994</v>
      </c>
      <c r="E31" t="s">
        <v>568</v>
      </c>
      <c r="F31" t="s">
        <v>568</v>
      </c>
      <c r="G31" t="s">
        <v>568</v>
      </c>
      <c r="H31" t="s">
        <v>568</v>
      </c>
      <c r="I31" t="s">
        <v>1073</v>
      </c>
      <c r="J31" t="s">
        <v>1074</v>
      </c>
      <c r="K31" s="25" t="s">
        <v>1075</v>
      </c>
    </row>
    <row r="32" spans="1:11" ht="15.5">
      <c r="A32" s="27" t="s">
        <v>1076</v>
      </c>
      <c r="B32" s="28" t="s">
        <v>982</v>
      </c>
      <c r="C32" s="29">
        <v>807120250009</v>
      </c>
      <c r="D32" s="30" t="s">
        <v>994</v>
      </c>
      <c r="E32" t="s">
        <v>568</v>
      </c>
      <c r="F32" t="s">
        <v>568</v>
      </c>
      <c r="I32" t="s">
        <v>1077</v>
      </c>
      <c r="J32" t="s">
        <v>1078</v>
      </c>
      <c r="K32" s="25" t="s">
        <v>1079</v>
      </c>
    </row>
    <row r="33" spans="1:11" ht="15.5">
      <c r="A33" s="27" t="s">
        <v>1080</v>
      </c>
      <c r="B33" s="28" t="s">
        <v>982</v>
      </c>
      <c r="C33" s="29">
        <v>807120250010</v>
      </c>
      <c r="D33" s="30" t="s">
        <v>994</v>
      </c>
      <c r="E33" t="s">
        <v>568</v>
      </c>
      <c r="F33" t="s">
        <v>568</v>
      </c>
      <c r="I33" t="s">
        <v>1081</v>
      </c>
      <c r="J33" t="s">
        <v>1082</v>
      </c>
      <c r="K33" s="25" t="s">
        <v>1083</v>
      </c>
    </row>
    <row r="34" spans="1:11" ht="15.5">
      <c r="A34" s="27" t="s">
        <v>1084</v>
      </c>
      <c r="B34" s="28" t="s">
        <v>1085</v>
      </c>
      <c r="C34" s="34" t="s">
        <v>1086</v>
      </c>
      <c r="D34" s="32" t="s">
        <v>994</v>
      </c>
      <c r="E34" t="s">
        <v>568</v>
      </c>
      <c r="F34" t="s">
        <v>568</v>
      </c>
      <c r="I34" t="s">
        <v>1087</v>
      </c>
      <c r="J34" t="s">
        <v>1088</v>
      </c>
      <c r="K34" s="25" t="s">
        <v>1089</v>
      </c>
    </row>
    <row r="35" spans="1:11" ht="15.5">
      <c r="A35" s="27" t="s">
        <v>1090</v>
      </c>
      <c r="B35" s="28" t="s">
        <v>982</v>
      </c>
      <c r="C35" s="29">
        <v>807120252005</v>
      </c>
      <c r="D35" s="30" t="s">
        <v>994</v>
      </c>
      <c r="E35" t="s">
        <v>568</v>
      </c>
      <c r="F35" t="s">
        <v>568</v>
      </c>
      <c r="I35" t="s">
        <v>1091</v>
      </c>
      <c r="J35" t="s">
        <v>1092</v>
      </c>
      <c r="K35" s="25" t="s">
        <v>1093</v>
      </c>
    </row>
    <row r="36" spans="1:11" ht="15.5">
      <c r="A36" s="27" t="s">
        <v>1094</v>
      </c>
      <c r="B36" s="28"/>
      <c r="C36" s="29">
        <v>807120250001</v>
      </c>
      <c r="D36" t="s">
        <v>1095</v>
      </c>
      <c r="F36" t="s">
        <v>568</v>
      </c>
      <c r="I36" t="s">
        <v>1096</v>
      </c>
      <c r="J36" t="s">
        <v>1097</v>
      </c>
      <c r="K36" s="25" t="s">
        <v>1098</v>
      </c>
    </row>
    <row r="37" spans="1:11" ht="15.5">
      <c r="A37" s="27" t="s">
        <v>1099</v>
      </c>
      <c r="B37" s="28" t="s">
        <v>1100</v>
      </c>
      <c r="C37" s="29">
        <v>807120252001</v>
      </c>
      <c r="D37" t="s">
        <v>1101</v>
      </c>
      <c r="I37" t="s">
        <v>1102</v>
      </c>
    </row>
    <row r="38" spans="1:11" ht="15.5">
      <c r="A38" s="27" t="s">
        <v>1103</v>
      </c>
      <c r="B38" s="28" t="s">
        <v>982</v>
      </c>
      <c r="C38" s="29">
        <v>807120240008</v>
      </c>
    </row>
    <row r="39" spans="1:11" ht="15.5">
      <c r="A39" s="35" t="s">
        <v>1104</v>
      </c>
      <c r="B39" s="28"/>
      <c r="C39" s="36">
        <v>807120230006</v>
      </c>
    </row>
    <row r="40" spans="1:11" ht="15.5">
      <c r="A40" s="35" t="s">
        <v>1105</v>
      </c>
      <c r="B40" s="28"/>
      <c r="C40" s="36">
        <v>807120230014</v>
      </c>
    </row>
    <row r="41" spans="1:11" ht="15.5">
      <c r="A41" s="35" t="s">
        <v>1106</v>
      </c>
      <c r="B41" s="28"/>
      <c r="C41" s="36">
        <v>805220230007</v>
      </c>
    </row>
    <row r="42" spans="1:11" ht="18">
      <c r="A42" s="27" t="s">
        <v>1107</v>
      </c>
      <c r="B42" s="28" t="s">
        <v>1100</v>
      </c>
      <c r="C42" s="29">
        <v>807120260006</v>
      </c>
      <c r="D42" s="30" t="s">
        <v>994</v>
      </c>
      <c r="E42" t="s">
        <v>568</v>
      </c>
      <c r="F42" t="s">
        <v>568</v>
      </c>
      <c r="I42" t="s">
        <v>1108</v>
      </c>
      <c r="J42" t="s">
        <v>1109</v>
      </c>
    </row>
    <row r="43" spans="1:11" ht="18">
      <c r="A43" s="27" t="s">
        <v>1110</v>
      </c>
      <c r="B43" s="28" t="s">
        <v>1100</v>
      </c>
      <c r="C43" s="29">
        <v>807120260007</v>
      </c>
      <c r="D43" s="30" t="s">
        <v>994</v>
      </c>
      <c r="E43" t="s">
        <v>568</v>
      </c>
      <c r="F43" t="s">
        <v>568</v>
      </c>
      <c r="I43" t="s">
        <v>1111</v>
      </c>
      <c r="J43" t="s">
        <v>1112</v>
      </c>
    </row>
    <row r="44" spans="1:11" ht="18">
      <c r="A44" s="27" t="s">
        <v>1113</v>
      </c>
      <c r="B44" s="28" t="s">
        <v>1100</v>
      </c>
      <c r="C44" s="29">
        <v>807120260010</v>
      </c>
      <c r="D44" t="s">
        <v>1114</v>
      </c>
      <c r="E44" t="s">
        <v>568</v>
      </c>
      <c r="F44" t="s">
        <v>568</v>
      </c>
      <c r="I44" t="s">
        <v>1115</v>
      </c>
      <c r="J44" t="s">
        <v>1116</v>
      </c>
    </row>
    <row r="45" spans="1:11" ht="18">
      <c r="A45" s="27" t="s">
        <v>1117</v>
      </c>
      <c r="B45" s="28" t="s">
        <v>1100</v>
      </c>
      <c r="C45" s="29">
        <v>807120260011</v>
      </c>
      <c r="D45" t="s">
        <v>1114</v>
      </c>
      <c r="E45" t="s">
        <v>568</v>
      </c>
      <c r="F45" t="s">
        <v>568</v>
      </c>
      <c r="I45" t="s">
        <v>1118</v>
      </c>
      <c r="J45" t="s">
        <v>1119</v>
      </c>
    </row>
    <row r="46" spans="1:11" ht="18">
      <c r="A46" s="27" t="s">
        <v>1120</v>
      </c>
      <c r="B46" s="28" t="s">
        <v>1100</v>
      </c>
      <c r="C46" s="29">
        <v>807120260008</v>
      </c>
      <c r="D46" t="s">
        <v>1121</v>
      </c>
      <c r="E46" t="s">
        <v>568</v>
      </c>
      <c r="F46" t="s">
        <v>568</v>
      </c>
      <c r="I46" t="s">
        <v>1122</v>
      </c>
      <c r="J46" t="s">
        <v>1123</v>
      </c>
    </row>
    <row r="47" spans="1:11" ht="18">
      <c r="A47" s="27" t="s">
        <v>1124</v>
      </c>
      <c r="B47" s="28" t="s">
        <v>1100</v>
      </c>
      <c r="C47" s="29">
        <v>807120260009</v>
      </c>
      <c r="D47" t="s">
        <v>1121</v>
      </c>
      <c r="E47" t="s">
        <v>568</v>
      </c>
      <c r="F47" t="s">
        <v>568</v>
      </c>
      <c r="I47" t="s">
        <v>1125</v>
      </c>
      <c r="J47" t="s">
        <v>1126</v>
      </c>
    </row>
    <row r="48" spans="1:11" ht="18">
      <c r="A48" s="35" t="s">
        <v>1127</v>
      </c>
      <c r="B48" s="28" t="s">
        <v>1100</v>
      </c>
      <c r="C48" s="29">
        <v>807120262003</v>
      </c>
      <c r="D48" t="s">
        <v>1128</v>
      </c>
      <c r="E48" t="s">
        <v>568</v>
      </c>
      <c r="F48" t="s">
        <v>568</v>
      </c>
      <c r="I48" t="s">
        <v>1129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080" t="s">
        <v>447</v>
      </c>
      <c r="B1" s="1081"/>
      <c r="C1" s="24"/>
      <c r="D1" s="24"/>
      <c r="E1" s="24"/>
      <c r="F1" s="24"/>
      <c r="G1" s="24"/>
    </row>
    <row r="2" spans="1:7">
      <c r="A2" s="24"/>
      <c r="B2" s="24" t="s">
        <v>448</v>
      </c>
      <c r="C2" s="24" t="s">
        <v>449</v>
      </c>
      <c r="D2" s="24" t="s">
        <v>450</v>
      </c>
      <c r="E2" s="24" t="s">
        <v>451</v>
      </c>
      <c r="F2" s="24"/>
      <c r="G2" s="24"/>
    </row>
    <row r="3" spans="1:7">
      <c r="A3" s="24" t="s">
        <v>452</v>
      </c>
      <c r="B3" s="24">
        <v>9</v>
      </c>
      <c r="C3" s="24">
        <v>5</v>
      </c>
      <c r="D3" s="24">
        <v>9</v>
      </c>
      <c r="E3" s="24">
        <v>2</v>
      </c>
      <c r="F3" s="24"/>
      <c r="G3" s="24"/>
    </row>
    <row r="4" spans="1:7">
      <c r="A4" s="24"/>
      <c r="B4" s="24" t="s">
        <v>453</v>
      </c>
      <c r="C4" s="24" t="s">
        <v>454</v>
      </c>
      <c r="D4" s="24" t="s">
        <v>455</v>
      </c>
      <c r="E4" s="24" t="s">
        <v>456</v>
      </c>
      <c r="F4" s="24" t="s">
        <v>457</v>
      </c>
      <c r="G4" s="24" t="s">
        <v>1130</v>
      </c>
    </row>
    <row r="5" spans="1:7">
      <c r="A5" s="24" t="s">
        <v>459</v>
      </c>
      <c r="B5" s="24">
        <v>12</v>
      </c>
      <c r="C5" s="24">
        <v>2</v>
      </c>
      <c r="D5" s="24">
        <v>12</v>
      </c>
      <c r="E5" s="24">
        <v>2</v>
      </c>
      <c r="F5" s="24">
        <v>12</v>
      </c>
      <c r="G5" s="24">
        <v>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90625" customWidth="1"/>
    <col min="4" max="4" width="6.54296875" customWidth="1"/>
    <col min="5" max="5" width="11.453125" customWidth="1"/>
    <col min="6" max="6" width="6.54296875" customWidth="1"/>
    <col min="7" max="7" width="12.08984375" customWidth="1"/>
    <col min="10" max="10" width="24.08984375" customWidth="1"/>
  </cols>
  <sheetData>
    <row r="1" spans="1:12" ht="33.5"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7"/>
    </row>
    <row r="6" spans="1:12">
      <c r="A6" s="6"/>
      <c r="B6" s="7"/>
      <c r="C6" s="7"/>
      <c r="D6" s="7"/>
      <c r="E6" s="7"/>
      <c r="F6" s="7"/>
      <c r="G6" s="7"/>
      <c r="H6" s="1082"/>
      <c r="I6" s="1082"/>
      <c r="J6" s="1082"/>
      <c r="K6" s="1082"/>
      <c r="L6" s="1082"/>
    </row>
    <row r="7" spans="1:12">
      <c r="C7" s="9"/>
      <c r="D7" s="9"/>
      <c r="E7" s="10"/>
      <c r="F7" s="11"/>
      <c r="G7" s="11"/>
      <c r="H7" s="1083"/>
      <c r="I7" s="1083"/>
      <c r="J7" s="1083"/>
      <c r="K7" s="1083"/>
      <c r="L7" s="1083"/>
    </row>
    <row r="8" spans="1:12">
      <c r="C8" s="9"/>
      <c r="D8" s="9"/>
      <c r="E8" s="10"/>
      <c r="F8" s="11"/>
      <c r="G8" s="11"/>
      <c r="H8" s="1084"/>
      <c r="I8" s="1084"/>
      <c r="J8" s="1084"/>
      <c r="K8" s="1084"/>
      <c r="L8" s="1084"/>
    </row>
    <row r="9" spans="1:12">
      <c r="C9" s="9"/>
      <c r="D9" s="9"/>
      <c r="E9" s="10"/>
      <c r="F9" s="11"/>
      <c r="G9" s="11"/>
      <c r="H9" s="1085"/>
      <c r="I9" s="1085"/>
      <c r="J9" s="1085"/>
      <c r="K9" s="1085"/>
      <c r="L9" s="1085"/>
    </row>
    <row r="10" spans="1:12">
      <c r="C10" s="9"/>
      <c r="D10" s="9"/>
      <c r="E10" s="10"/>
      <c r="F10" s="11"/>
      <c r="G10" s="11"/>
      <c r="H10" s="1084"/>
      <c r="I10" s="1084"/>
      <c r="J10" s="1084"/>
      <c r="K10" s="1084"/>
      <c r="L10" s="1084"/>
    </row>
    <row r="11" spans="1:12">
      <c r="C11" s="9"/>
      <c r="D11" s="9"/>
      <c r="E11" s="10"/>
      <c r="F11" s="11"/>
      <c r="G11" s="11"/>
      <c r="H11" s="1083"/>
      <c r="I11" s="1083"/>
      <c r="J11" s="1083"/>
      <c r="K11" s="1083"/>
      <c r="L11" s="1083"/>
    </row>
    <row r="12" spans="1:12">
      <c r="B12" s="12"/>
      <c r="C12" s="13"/>
      <c r="D12" s="13"/>
      <c r="E12" s="14"/>
      <c r="F12" s="15"/>
      <c r="G12" s="15"/>
      <c r="H12" s="1086"/>
      <c r="I12" s="1086"/>
      <c r="J12" s="1086"/>
      <c r="K12" s="1086"/>
      <c r="L12" s="1086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56"/>
      <c r="C31" s="656"/>
      <c r="D31" s="656"/>
      <c r="E31" s="656"/>
      <c r="F31" s="656"/>
      <c r="G31" s="656"/>
      <c r="H31" s="656"/>
      <c r="I31" s="656"/>
      <c r="J31" s="656"/>
      <c r="K31" s="656"/>
      <c r="L31" s="656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7"/>
    </row>
    <row r="36" spans="1:12">
      <c r="A36" s="6"/>
      <c r="B36" s="7"/>
      <c r="C36" s="7"/>
      <c r="D36" s="7"/>
      <c r="E36" s="7"/>
      <c r="F36" s="7"/>
      <c r="G36" s="7"/>
      <c r="H36" s="1082"/>
      <c r="I36" s="1082"/>
      <c r="J36" s="1082"/>
      <c r="K36" s="1082"/>
      <c r="L36" s="1082"/>
    </row>
    <row r="37" spans="1:12">
      <c r="C37" s="9"/>
      <c r="D37" s="9"/>
      <c r="E37" s="10"/>
      <c r="F37" s="11"/>
      <c r="G37" s="11"/>
      <c r="H37" s="1083"/>
      <c r="I37" s="1083"/>
      <c r="J37" s="1083"/>
      <c r="K37" s="1083"/>
      <c r="L37" s="1083"/>
    </row>
    <row r="38" spans="1:12">
      <c r="C38" s="9"/>
      <c r="D38" s="9"/>
      <c r="E38" s="10"/>
      <c r="F38" s="11"/>
      <c r="G38" s="11"/>
      <c r="H38" s="1084"/>
      <c r="I38" s="1084"/>
      <c r="J38" s="1084"/>
      <c r="K38" s="1084"/>
      <c r="L38" s="1084"/>
    </row>
    <row r="39" spans="1:12">
      <c r="C39" s="9"/>
      <c r="D39" s="9"/>
      <c r="E39" s="10"/>
      <c r="F39" s="11"/>
      <c r="G39" s="11"/>
      <c r="H39" s="1085"/>
      <c r="I39" s="1085"/>
      <c r="J39" s="1085"/>
      <c r="K39" s="1085"/>
      <c r="L39" s="1085"/>
    </row>
    <row r="40" spans="1:12">
      <c r="C40" s="9"/>
      <c r="D40" s="9"/>
      <c r="E40" s="10"/>
      <c r="F40" s="11"/>
      <c r="G40" s="11"/>
      <c r="H40" s="1084"/>
      <c r="I40" s="1084"/>
      <c r="J40" s="1084"/>
      <c r="K40" s="1084"/>
      <c r="L40" s="1084"/>
    </row>
    <row r="41" spans="1:12">
      <c r="C41" s="9"/>
      <c r="D41" s="9"/>
      <c r="E41" s="10"/>
      <c r="F41" s="11"/>
      <c r="G41" s="11"/>
      <c r="H41" s="1087"/>
      <c r="I41" s="1087"/>
      <c r="J41" s="1087"/>
      <c r="K41" s="1087"/>
      <c r="L41" s="1087"/>
    </row>
    <row r="42" spans="1:12">
      <c r="B42" s="12"/>
      <c r="C42" s="13"/>
      <c r="D42" s="13"/>
      <c r="E42" s="14"/>
      <c r="F42" s="15"/>
      <c r="G42" s="15"/>
      <c r="H42" s="1087"/>
      <c r="I42" s="1087"/>
      <c r="J42" s="1087"/>
      <c r="K42" s="1087"/>
      <c r="L42" s="1087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</row>
    <row r="62" spans="1:14" ht="23.5">
      <c r="A62" s="6"/>
      <c r="B62" s="16"/>
      <c r="C62" s="16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7"/>
    </row>
    <row r="66" spans="2:12">
      <c r="B66" s="7"/>
      <c r="C66" s="7"/>
      <c r="D66" s="7"/>
      <c r="E66" s="7"/>
      <c r="F66" s="7"/>
      <c r="G66" s="7"/>
      <c r="H66" s="1082"/>
      <c r="I66" s="1082"/>
      <c r="J66" s="1082"/>
      <c r="K66" s="1082"/>
      <c r="L66" s="1082"/>
    </row>
    <row r="67" spans="2:12">
      <c r="C67" s="9"/>
      <c r="D67" s="9"/>
      <c r="E67" s="10"/>
      <c r="F67" s="11"/>
      <c r="G67" s="11"/>
      <c r="H67" s="1083"/>
      <c r="I67" s="1083"/>
      <c r="J67" s="1083"/>
      <c r="K67" s="1083"/>
      <c r="L67" s="1083"/>
    </row>
    <row r="68" spans="2:12">
      <c r="C68" s="9"/>
      <c r="D68" s="9"/>
      <c r="E68" s="10"/>
      <c r="F68" s="11"/>
      <c r="G68" s="11"/>
      <c r="H68" s="1084"/>
      <c r="I68" s="1084"/>
      <c r="J68" s="1084"/>
      <c r="K68" s="1084"/>
      <c r="L68" s="1084"/>
    </row>
    <row r="69" spans="2:12">
      <c r="C69" s="9"/>
      <c r="D69" s="9"/>
      <c r="E69" s="10"/>
      <c r="F69" s="11"/>
      <c r="G69" s="11"/>
      <c r="H69" s="1085"/>
      <c r="I69" s="1085"/>
      <c r="J69" s="1085"/>
      <c r="K69" s="1085"/>
      <c r="L69" s="1085"/>
    </row>
    <row r="70" spans="2:12">
      <c r="C70" s="9"/>
      <c r="D70" s="9"/>
      <c r="E70" s="10"/>
      <c r="F70" s="11"/>
      <c r="G70" s="11"/>
      <c r="H70" s="1085"/>
      <c r="I70" s="1085"/>
      <c r="J70" s="1085"/>
      <c r="K70" s="1085"/>
      <c r="L70" s="1085"/>
    </row>
    <row r="71" spans="2:12">
      <c r="C71" s="9"/>
      <c r="D71" s="9"/>
      <c r="E71" s="10"/>
      <c r="F71" s="11"/>
      <c r="G71" s="11"/>
      <c r="H71" s="1087"/>
      <c r="I71" s="1087"/>
      <c r="J71" s="1087"/>
      <c r="K71" s="1087"/>
      <c r="L71" s="1087"/>
    </row>
    <row r="72" spans="2:12">
      <c r="B72" s="12"/>
      <c r="C72" s="13"/>
      <c r="D72" s="13"/>
      <c r="E72" s="14"/>
      <c r="F72" s="15"/>
      <c r="G72" s="15"/>
      <c r="H72" s="1087"/>
      <c r="I72" s="1087"/>
      <c r="J72" s="1087"/>
      <c r="K72" s="1087"/>
      <c r="L72" s="1087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</row>
    <row r="93" spans="1:14" ht="23.5">
      <c r="A93" s="6"/>
      <c r="B93" s="16"/>
      <c r="C93" s="16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7"/>
    </row>
    <row r="97" spans="2:12">
      <c r="B97" s="7"/>
      <c r="C97" s="7"/>
      <c r="D97" s="7"/>
      <c r="E97" s="7"/>
      <c r="F97" s="7"/>
      <c r="G97" s="7"/>
      <c r="H97" s="1082"/>
      <c r="I97" s="1082"/>
      <c r="J97" s="1082"/>
      <c r="K97" s="1082"/>
      <c r="L97" s="1082"/>
    </row>
    <row r="98" spans="2:12">
      <c r="C98" s="9"/>
      <c r="D98" s="9"/>
      <c r="E98" s="10"/>
      <c r="F98" s="11"/>
      <c r="G98" s="11"/>
      <c r="H98" s="1083"/>
      <c r="I98" s="1083"/>
      <c r="J98" s="1083"/>
      <c r="K98" s="1083"/>
      <c r="L98" s="1083"/>
    </row>
    <row r="99" spans="2:12">
      <c r="C99" s="9"/>
      <c r="D99" s="9"/>
      <c r="E99" s="10"/>
      <c r="F99" s="11"/>
      <c r="G99" s="11"/>
      <c r="H99" s="1084"/>
      <c r="I99" s="1084"/>
      <c r="J99" s="1084"/>
      <c r="K99" s="1084"/>
      <c r="L99" s="1084"/>
    </row>
    <row r="100" spans="2:12">
      <c r="C100" s="9"/>
      <c r="D100" s="9"/>
      <c r="E100" s="10"/>
      <c r="F100" s="11"/>
      <c r="G100" s="11"/>
      <c r="H100" s="1085"/>
      <c r="I100" s="1085"/>
      <c r="J100" s="1085"/>
      <c r="K100" s="1085"/>
      <c r="L100" s="1085"/>
    </row>
    <row r="101" spans="2:12">
      <c r="C101" s="9"/>
      <c r="D101" s="9"/>
      <c r="E101" s="10"/>
      <c r="F101" s="11"/>
      <c r="G101" s="11"/>
      <c r="H101" s="1085"/>
      <c r="I101" s="1085"/>
      <c r="J101" s="1085"/>
      <c r="K101" s="1085"/>
      <c r="L101" s="1085"/>
    </row>
    <row r="102" spans="2:12">
      <c r="C102" s="9"/>
      <c r="D102" s="9"/>
      <c r="E102" s="10"/>
      <c r="F102" s="11"/>
      <c r="G102" s="11"/>
      <c r="H102" s="1087"/>
      <c r="I102" s="1087"/>
      <c r="J102" s="1087"/>
      <c r="K102" s="1087"/>
      <c r="L102" s="1087"/>
    </row>
    <row r="103" spans="2:12">
      <c r="B103" s="12"/>
      <c r="C103" s="13"/>
      <c r="D103" s="13"/>
      <c r="E103" s="14"/>
      <c r="F103" s="15"/>
      <c r="G103" s="15"/>
      <c r="H103" s="1087"/>
      <c r="I103" s="1087"/>
      <c r="J103" s="1087"/>
      <c r="K103" s="1087"/>
      <c r="L103" s="1087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</row>
    <row r="123" spans="1:14" ht="23.5">
      <c r="A123" s="6"/>
      <c r="B123" s="16"/>
      <c r="C123" s="16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7"/>
    </row>
    <row r="127" spans="1:14">
      <c r="B127" s="7"/>
      <c r="C127" s="7"/>
      <c r="D127" s="7"/>
      <c r="E127" s="7"/>
      <c r="F127" s="7"/>
      <c r="G127" s="7"/>
      <c r="H127" s="1082"/>
      <c r="I127" s="1082"/>
      <c r="J127" s="1082"/>
      <c r="K127" s="1082"/>
      <c r="L127" s="1082"/>
    </row>
    <row r="128" spans="1:14">
      <c r="C128" s="9"/>
      <c r="D128" s="9"/>
      <c r="E128" s="10"/>
      <c r="F128" s="11"/>
      <c r="G128" s="11"/>
      <c r="H128" s="1083"/>
      <c r="I128" s="1083"/>
      <c r="J128" s="1083"/>
      <c r="K128" s="1083"/>
      <c r="L128" s="1083"/>
    </row>
    <row r="129" spans="2:12">
      <c r="C129" s="9"/>
      <c r="D129" s="9"/>
      <c r="E129" s="10"/>
      <c r="F129" s="11"/>
      <c r="G129" s="11"/>
      <c r="H129" s="1084"/>
      <c r="I129" s="1084"/>
      <c r="J129" s="1084"/>
      <c r="K129" s="1084"/>
      <c r="L129" s="1084"/>
    </row>
    <row r="130" spans="2:12">
      <c r="C130" s="9"/>
      <c r="D130" s="9"/>
      <c r="E130" s="10"/>
      <c r="F130" s="11"/>
      <c r="G130" s="11"/>
      <c r="H130" s="1085"/>
      <c r="I130" s="1085"/>
      <c r="J130" s="1085"/>
      <c r="K130" s="1085"/>
      <c r="L130" s="1085"/>
    </row>
    <row r="131" spans="2:12">
      <c r="C131" s="9"/>
      <c r="D131" s="9"/>
      <c r="E131" s="10"/>
      <c r="F131" s="11"/>
      <c r="G131" s="11"/>
      <c r="H131" s="1085"/>
      <c r="I131" s="1085"/>
      <c r="J131" s="1085"/>
      <c r="K131" s="1085"/>
      <c r="L131" s="1085"/>
    </row>
    <row r="132" spans="2:12">
      <c r="C132" s="9"/>
      <c r="D132" s="9"/>
      <c r="E132" s="10"/>
      <c r="F132" s="11"/>
      <c r="G132" s="11"/>
      <c r="H132" s="1087"/>
      <c r="I132" s="1087"/>
      <c r="J132" s="1087"/>
      <c r="K132" s="1087"/>
      <c r="L132" s="1087"/>
    </row>
    <row r="133" spans="2:12">
      <c r="B133" s="12"/>
      <c r="C133" s="13"/>
      <c r="D133" s="13"/>
      <c r="E133" s="14"/>
      <c r="F133" s="15"/>
      <c r="G133" s="15"/>
      <c r="H133" s="1087"/>
      <c r="I133" s="1087"/>
      <c r="J133" s="1087"/>
      <c r="K133" s="1087"/>
      <c r="L133" s="1087"/>
    </row>
    <row r="148" spans="1:14">
      <c r="A148" s="6"/>
    </row>
    <row r="150" spans="1:14">
      <c r="C150" s="18"/>
    </row>
    <row r="151" spans="1:14">
      <c r="C151" s="18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</row>
    <row r="154" spans="1:14" ht="23.5">
      <c r="A154" s="6"/>
      <c r="B154" s="16"/>
      <c r="C154" s="16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7"/>
    </row>
    <row r="158" spans="1:14">
      <c r="B158" s="7"/>
      <c r="C158" s="7"/>
      <c r="D158" s="7"/>
      <c r="E158" s="7"/>
      <c r="F158" s="7"/>
      <c r="G158" s="7"/>
      <c r="H158" s="1082"/>
      <c r="I158" s="1082"/>
      <c r="J158" s="1082"/>
      <c r="K158" s="1082"/>
      <c r="L158" s="1082"/>
    </row>
    <row r="159" spans="1:14">
      <c r="C159" s="9"/>
      <c r="D159" s="9"/>
      <c r="E159" s="10"/>
      <c r="F159" s="11"/>
      <c r="G159" s="11"/>
      <c r="H159" s="1083"/>
      <c r="I159" s="1083"/>
      <c r="J159" s="1083"/>
      <c r="K159" s="1083"/>
      <c r="L159" s="1083"/>
    </row>
    <row r="160" spans="1:14">
      <c r="C160" s="9"/>
      <c r="D160" s="9"/>
      <c r="E160" s="10"/>
      <c r="F160" s="11"/>
      <c r="G160" s="11"/>
      <c r="H160" s="1084"/>
      <c r="I160" s="1084"/>
      <c r="J160" s="1084"/>
      <c r="K160" s="1084"/>
      <c r="L160" s="1084"/>
    </row>
    <row r="161" spans="2:12">
      <c r="C161" s="9"/>
      <c r="D161" s="9"/>
      <c r="E161" s="10"/>
      <c r="F161" s="11"/>
      <c r="G161" s="11"/>
      <c r="H161" s="19"/>
      <c r="I161" s="19"/>
      <c r="J161" s="19"/>
      <c r="K161" s="19"/>
      <c r="L161" s="19"/>
    </row>
    <row r="162" spans="2:12">
      <c r="C162" s="9"/>
      <c r="D162" s="9"/>
      <c r="E162" s="10"/>
      <c r="F162" s="11"/>
      <c r="G162" s="11"/>
      <c r="H162" s="19"/>
      <c r="I162" s="19"/>
      <c r="J162" s="19"/>
      <c r="K162" s="19"/>
      <c r="L162" s="19"/>
    </row>
    <row r="163" spans="2:12">
      <c r="C163" s="9"/>
      <c r="D163" s="9"/>
      <c r="E163" s="10"/>
      <c r="F163" s="11"/>
      <c r="G163" s="11"/>
      <c r="H163" s="1087"/>
      <c r="I163" s="1087"/>
      <c r="J163" s="1087"/>
      <c r="K163" s="1087"/>
      <c r="L163" s="1087"/>
    </row>
    <row r="164" spans="2:12">
      <c r="B164" s="12"/>
      <c r="C164" s="13"/>
      <c r="D164" s="13"/>
      <c r="E164" s="14"/>
      <c r="F164" s="15"/>
      <c r="G164" s="15"/>
      <c r="H164" s="1087"/>
      <c r="I164" s="1087"/>
      <c r="J164" s="1087"/>
      <c r="K164" s="1087"/>
      <c r="L164" s="1087"/>
    </row>
    <row r="179" spans="1:14">
      <c r="A179" s="6"/>
    </row>
    <row r="181" spans="1:14">
      <c r="C181" s="18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56"/>
      <c r="C183" s="656"/>
      <c r="D183" s="656"/>
      <c r="E183" s="656"/>
      <c r="F183" s="656"/>
      <c r="G183" s="656"/>
      <c r="H183" s="656"/>
      <c r="I183" s="656"/>
      <c r="J183" s="656"/>
      <c r="K183" s="656"/>
      <c r="L183" s="656"/>
    </row>
    <row r="184" spans="1:14" ht="23.5">
      <c r="A184" s="6"/>
      <c r="B184" s="16"/>
      <c r="C184" s="16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7"/>
    </row>
    <row r="188" spans="1:14">
      <c r="B188" s="7"/>
      <c r="C188" s="7"/>
      <c r="D188" s="7"/>
      <c r="E188" s="7"/>
      <c r="F188" s="7"/>
      <c r="G188" s="7"/>
      <c r="H188" s="1082"/>
      <c r="I188" s="1082"/>
      <c r="J188" s="1082"/>
      <c r="K188" s="1082"/>
      <c r="L188" s="1082"/>
    </row>
    <row r="189" spans="1:14">
      <c r="C189" s="9"/>
      <c r="D189" s="9"/>
      <c r="E189" s="10"/>
      <c r="F189" s="11"/>
      <c r="G189" s="11"/>
      <c r="H189" s="1083"/>
      <c r="I189" s="1083"/>
      <c r="J189" s="1083"/>
      <c r="K189" s="1083"/>
      <c r="L189" s="1083"/>
    </row>
    <row r="190" spans="1:14">
      <c r="C190" s="9"/>
      <c r="D190" s="9"/>
      <c r="E190" s="10"/>
      <c r="F190" s="11"/>
      <c r="G190" s="11"/>
      <c r="H190" s="1084"/>
      <c r="I190" s="1084"/>
      <c r="J190" s="1084"/>
      <c r="K190" s="1084"/>
      <c r="L190" s="1084"/>
    </row>
    <row r="191" spans="1:14">
      <c r="C191" s="9"/>
      <c r="D191" s="9"/>
      <c r="E191" s="10"/>
      <c r="F191" s="11"/>
      <c r="G191" s="11"/>
      <c r="H191" s="19"/>
      <c r="I191" s="19"/>
      <c r="J191" s="19"/>
      <c r="K191" s="19"/>
      <c r="L191" s="19"/>
    </row>
    <row r="192" spans="1:14">
      <c r="C192" s="9"/>
      <c r="D192" s="9"/>
      <c r="E192" s="10"/>
      <c r="F192" s="11"/>
      <c r="G192" s="11"/>
      <c r="H192" s="19"/>
      <c r="I192" s="19"/>
      <c r="J192" s="19"/>
      <c r="K192" s="19"/>
      <c r="L192" s="19"/>
    </row>
    <row r="193" spans="2:12">
      <c r="C193" s="9"/>
      <c r="D193" s="9"/>
      <c r="E193" s="10"/>
      <c r="F193" s="11"/>
      <c r="G193" s="11"/>
      <c r="H193" s="1087"/>
      <c r="I193" s="1087"/>
      <c r="J193" s="1087"/>
      <c r="K193" s="1087"/>
      <c r="L193" s="1087"/>
    </row>
    <row r="194" spans="2:12">
      <c r="B194" s="12"/>
      <c r="C194" s="13"/>
      <c r="D194" s="13"/>
      <c r="E194" s="14"/>
      <c r="F194" s="15"/>
      <c r="G194" s="15"/>
      <c r="H194" s="1087"/>
      <c r="I194" s="1087"/>
      <c r="J194" s="1087"/>
      <c r="K194" s="1087"/>
      <c r="L194" s="1087"/>
    </row>
    <row r="209" spans="1:14">
      <c r="A209" s="6"/>
    </row>
    <row r="211" spans="1:14">
      <c r="C211" s="18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</row>
    <row r="214" spans="1:14" ht="23.5">
      <c r="A214" s="6"/>
      <c r="B214" s="16"/>
      <c r="C214" s="16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7"/>
    </row>
    <row r="218" spans="1:14">
      <c r="B218" s="7"/>
      <c r="C218" s="7"/>
      <c r="D218" s="7"/>
      <c r="E218" s="7"/>
      <c r="F218" s="7"/>
      <c r="G218" s="7"/>
      <c r="H218" s="1082"/>
      <c r="I218" s="1082"/>
      <c r="J218" s="1082"/>
      <c r="K218" s="1082"/>
      <c r="L218" s="1082"/>
    </row>
    <row r="219" spans="1:14">
      <c r="C219" s="9"/>
      <c r="D219" s="9"/>
      <c r="E219" s="10"/>
      <c r="F219" s="11"/>
      <c r="G219" s="11"/>
      <c r="H219" s="1083"/>
      <c r="I219" s="1083"/>
      <c r="J219" s="1083"/>
      <c r="K219" s="1083"/>
      <c r="L219" s="1083"/>
    </row>
    <row r="220" spans="1:14">
      <c r="C220" s="9"/>
      <c r="D220" s="9"/>
      <c r="E220" s="10"/>
      <c r="F220" s="11"/>
      <c r="G220" s="11"/>
      <c r="H220" s="1084"/>
      <c r="I220" s="1084"/>
      <c r="J220" s="1084"/>
      <c r="K220" s="1084"/>
      <c r="L220" s="1084"/>
    </row>
    <row r="221" spans="1:14">
      <c r="C221" s="9"/>
      <c r="D221" s="9"/>
      <c r="E221" s="10"/>
      <c r="F221" s="11"/>
      <c r="G221" s="11"/>
      <c r="H221" s="19"/>
      <c r="I221" s="19"/>
      <c r="J221" s="19"/>
      <c r="K221" s="19"/>
      <c r="L221" s="19"/>
    </row>
    <row r="222" spans="1:14">
      <c r="C222" s="9"/>
      <c r="D222" s="9"/>
      <c r="E222" s="10"/>
      <c r="F222" s="11"/>
      <c r="G222" s="11"/>
      <c r="H222" s="19"/>
      <c r="I222" s="19"/>
      <c r="J222" s="19"/>
      <c r="K222" s="19"/>
      <c r="L222" s="19"/>
    </row>
    <row r="223" spans="1:14">
      <c r="C223" s="9"/>
      <c r="D223" s="9"/>
      <c r="E223" s="10"/>
      <c r="F223" s="11"/>
      <c r="G223" s="11"/>
      <c r="H223" s="1087"/>
      <c r="I223" s="1087"/>
      <c r="J223" s="1087"/>
      <c r="K223" s="1087"/>
      <c r="L223" s="1087"/>
    </row>
    <row r="224" spans="1:14">
      <c r="B224" s="12"/>
      <c r="C224" s="13"/>
      <c r="D224" s="13"/>
      <c r="E224" s="14"/>
      <c r="F224" s="15"/>
      <c r="G224" s="15"/>
      <c r="H224" s="1087"/>
      <c r="I224" s="1087"/>
      <c r="J224" s="1087"/>
      <c r="K224" s="1087"/>
      <c r="L224" s="1087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</row>
    <row r="243" spans="1:14" ht="23.5">
      <c r="A243" s="6"/>
      <c r="B243" s="16"/>
      <c r="C243" s="16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7"/>
    </row>
    <row r="247" spans="1:14">
      <c r="B247" s="7"/>
      <c r="C247" s="7"/>
      <c r="D247" s="7"/>
      <c r="E247" s="7"/>
      <c r="F247" s="7"/>
      <c r="G247" s="7"/>
      <c r="H247" s="1082"/>
      <c r="I247" s="1082"/>
      <c r="J247" s="1082"/>
      <c r="K247" s="1082"/>
      <c r="L247" s="1082"/>
    </row>
    <row r="248" spans="1:14">
      <c r="C248" s="9"/>
      <c r="D248" s="9"/>
      <c r="E248" s="10"/>
      <c r="F248" s="11"/>
      <c r="G248" s="11"/>
      <c r="H248" s="1083"/>
      <c r="I248" s="1083"/>
      <c r="J248" s="1083"/>
      <c r="K248" s="1083"/>
      <c r="L248" s="1083"/>
    </row>
    <row r="249" spans="1:14">
      <c r="C249" s="9"/>
      <c r="D249" s="9"/>
      <c r="E249" s="10"/>
      <c r="F249" s="11"/>
      <c r="G249" s="11"/>
      <c r="H249" s="1084"/>
      <c r="I249" s="1084"/>
      <c r="J249" s="1084"/>
      <c r="K249" s="1084"/>
      <c r="L249" s="1084"/>
    </row>
    <row r="250" spans="1:14">
      <c r="C250" s="9"/>
      <c r="D250" s="9"/>
      <c r="E250" s="10"/>
      <c r="F250" s="11"/>
      <c r="G250" s="11"/>
      <c r="H250" s="19"/>
      <c r="I250" s="19"/>
      <c r="J250" s="19"/>
      <c r="K250" s="19"/>
      <c r="L250" s="19"/>
    </row>
    <row r="251" spans="1:14">
      <c r="C251" s="9"/>
      <c r="D251" s="9"/>
      <c r="E251" s="10"/>
      <c r="F251" s="11"/>
      <c r="G251" s="11"/>
      <c r="H251" s="19"/>
      <c r="I251" s="19"/>
      <c r="J251" s="19"/>
      <c r="K251" s="19"/>
      <c r="L251" s="19"/>
    </row>
    <row r="252" spans="1:14">
      <c r="C252" s="9"/>
      <c r="D252" s="9"/>
      <c r="E252" s="10"/>
      <c r="F252" s="11"/>
      <c r="G252" s="11"/>
      <c r="H252" s="1087"/>
      <c r="I252" s="1087"/>
      <c r="J252" s="1087"/>
      <c r="K252" s="1087"/>
      <c r="L252" s="1087"/>
    </row>
    <row r="253" spans="1:14">
      <c r="B253" s="12"/>
      <c r="C253" s="13"/>
      <c r="D253" s="13"/>
      <c r="E253" s="14"/>
      <c r="F253" s="15"/>
      <c r="G253" s="15"/>
      <c r="H253" s="1087"/>
      <c r="I253" s="1087"/>
      <c r="J253" s="1087"/>
      <c r="K253" s="1087"/>
      <c r="L253" s="1087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56"/>
      <c r="C272" s="656"/>
      <c r="D272" s="656"/>
      <c r="E272" s="656"/>
      <c r="F272" s="656"/>
      <c r="G272" s="656"/>
      <c r="H272" s="656"/>
      <c r="I272" s="656"/>
      <c r="J272" s="656"/>
      <c r="K272" s="656"/>
      <c r="L272" s="656"/>
    </row>
    <row r="273" spans="1:12" ht="23.5">
      <c r="A273" s="6"/>
      <c r="B273" s="16"/>
      <c r="C273" s="16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7"/>
    </row>
    <row r="277" spans="1:12">
      <c r="B277" s="7"/>
      <c r="C277" s="7"/>
      <c r="D277" s="7"/>
      <c r="E277" s="7"/>
      <c r="F277" s="7"/>
      <c r="G277" s="7"/>
      <c r="H277" s="1082"/>
      <c r="I277" s="1082"/>
      <c r="J277" s="1082"/>
      <c r="K277" s="1082"/>
      <c r="L277" s="1082"/>
    </row>
    <row r="278" spans="1:12">
      <c r="C278" s="9"/>
      <c r="D278" s="9"/>
      <c r="E278" s="10"/>
      <c r="F278" s="11"/>
      <c r="G278" s="11"/>
      <c r="H278" s="1083"/>
      <c r="I278" s="1083"/>
      <c r="J278" s="1083"/>
      <c r="K278" s="1083"/>
      <c r="L278" s="1083"/>
    </row>
    <row r="279" spans="1:12">
      <c r="C279" s="9"/>
      <c r="D279" s="9"/>
      <c r="E279" s="10"/>
      <c r="F279" s="11"/>
      <c r="G279" s="11"/>
      <c r="H279" s="1084"/>
      <c r="I279" s="1084"/>
      <c r="J279" s="1084"/>
      <c r="K279" s="1084"/>
      <c r="L279" s="1084"/>
    </row>
    <row r="280" spans="1:12">
      <c r="C280" s="9"/>
      <c r="D280" s="9"/>
      <c r="E280" s="10"/>
      <c r="F280" s="11"/>
      <c r="G280" s="11"/>
      <c r="H280" s="19"/>
      <c r="I280" s="19"/>
      <c r="J280" s="19"/>
      <c r="K280" s="19"/>
      <c r="L280" s="19"/>
    </row>
    <row r="281" spans="1:12">
      <c r="C281" s="9"/>
      <c r="D281" s="9"/>
      <c r="E281" s="10"/>
      <c r="F281" s="11"/>
      <c r="G281" s="11"/>
      <c r="H281" s="19"/>
      <c r="I281" s="19"/>
      <c r="J281" s="19"/>
      <c r="K281" s="19"/>
      <c r="L281" s="19"/>
    </row>
    <row r="282" spans="1:12">
      <c r="C282" s="9"/>
      <c r="D282" s="9"/>
      <c r="E282" s="10"/>
      <c r="F282" s="11"/>
      <c r="G282" s="11"/>
      <c r="H282" s="1087"/>
      <c r="I282" s="1087"/>
      <c r="J282" s="1087"/>
      <c r="K282" s="1087"/>
      <c r="L282" s="1087"/>
    </row>
    <row r="283" spans="1:12">
      <c r="B283" s="12"/>
      <c r="C283" s="13"/>
      <c r="D283" s="13"/>
      <c r="E283" s="14"/>
      <c r="F283" s="15"/>
      <c r="G283" s="15"/>
      <c r="H283" s="1087"/>
      <c r="I283" s="1087"/>
      <c r="J283" s="1087"/>
      <c r="K283" s="1087"/>
      <c r="L283" s="1087"/>
    </row>
    <row r="298" spans="1:14">
      <c r="A298" s="6"/>
    </row>
    <row r="300" spans="1:14" ht="23.5">
      <c r="B300" s="16"/>
      <c r="C300" s="16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</row>
    <row r="303" spans="1:14" ht="23.5">
      <c r="A303" s="6"/>
      <c r="B303" s="16"/>
      <c r="C303" s="16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7"/>
    </row>
    <row r="307" spans="2:12">
      <c r="B307" s="7"/>
      <c r="C307" s="7"/>
      <c r="D307" s="7"/>
      <c r="E307" s="7"/>
      <c r="F307" s="7"/>
      <c r="G307" s="7"/>
      <c r="H307" s="1082"/>
      <c r="I307" s="1082"/>
      <c r="J307" s="1082"/>
      <c r="K307" s="1082"/>
      <c r="L307" s="1082"/>
    </row>
    <row r="308" spans="2:12">
      <c r="C308" s="9"/>
      <c r="D308" s="9"/>
      <c r="E308" s="10"/>
      <c r="F308" s="11"/>
      <c r="G308" s="11"/>
      <c r="H308" s="1083"/>
      <c r="I308" s="1083"/>
      <c r="J308" s="1083"/>
      <c r="K308" s="1083"/>
      <c r="L308" s="1083"/>
    </row>
    <row r="309" spans="2:12">
      <c r="C309" s="9"/>
      <c r="D309" s="9"/>
      <c r="E309" s="10"/>
      <c r="F309" s="11"/>
      <c r="G309" s="11"/>
      <c r="H309" s="1084"/>
      <c r="I309" s="1084"/>
      <c r="J309" s="1084"/>
      <c r="K309" s="1084"/>
      <c r="L309" s="1084"/>
    </row>
    <row r="310" spans="2:12">
      <c r="C310" s="9"/>
      <c r="D310" s="9"/>
      <c r="E310" s="10"/>
      <c r="F310" s="11"/>
      <c r="G310" s="11"/>
      <c r="H310" s="19"/>
      <c r="I310" s="19"/>
      <c r="J310" s="19"/>
      <c r="K310" s="19"/>
      <c r="L310" s="19"/>
    </row>
    <row r="311" spans="2:12">
      <c r="C311" s="9"/>
      <c r="D311" s="9"/>
      <c r="E311" s="10"/>
      <c r="F311" s="11"/>
      <c r="G311" s="11"/>
      <c r="H311" s="19"/>
      <c r="I311" s="19"/>
      <c r="J311" s="19"/>
      <c r="K311" s="19"/>
      <c r="L311" s="19"/>
    </row>
    <row r="312" spans="2:12">
      <c r="C312" s="9"/>
      <c r="D312" s="9"/>
      <c r="E312" s="10"/>
      <c r="F312" s="11"/>
      <c r="G312" s="11"/>
      <c r="H312" s="1087"/>
      <c r="I312" s="1087"/>
      <c r="J312" s="1087"/>
      <c r="K312" s="1087"/>
      <c r="L312" s="1087"/>
    </row>
    <row r="313" spans="2:12">
      <c r="B313" s="12"/>
      <c r="C313" s="13"/>
      <c r="D313" s="13"/>
      <c r="E313" s="14"/>
      <c r="F313" s="15"/>
      <c r="G313" s="15"/>
      <c r="H313" s="1087"/>
      <c r="I313" s="1087"/>
      <c r="J313" s="1087"/>
      <c r="K313" s="1087"/>
      <c r="L313" s="1087"/>
    </row>
    <row r="328" spans="1:14">
      <c r="A328" s="6"/>
    </row>
    <row r="330" spans="1:14">
      <c r="B330" s="18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</row>
    <row r="333" spans="1:14" ht="23.5">
      <c r="A333" s="6"/>
      <c r="B333" s="16"/>
      <c r="C333" s="16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7"/>
    </row>
    <row r="337" spans="2:12">
      <c r="B337" s="7"/>
      <c r="C337" s="7"/>
      <c r="D337" s="7"/>
      <c r="E337" s="7"/>
      <c r="F337" s="7"/>
      <c r="G337" s="7"/>
      <c r="H337" s="1082"/>
      <c r="I337" s="1082"/>
      <c r="J337" s="1082"/>
      <c r="K337" s="1082"/>
      <c r="L337" s="1082"/>
    </row>
    <row r="338" spans="2:12">
      <c r="C338" s="9"/>
      <c r="D338" s="9"/>
      <c r="E338" s="10"/>
      <c r="F338" s="11"/>
      <c r="G338" s="11"/>
      <c r="H338" s="1083"/>
      <c r="I338" s="1083"/>
      <c r="J338" s="1083"/>
      <c r="K338" s="1083"/>
      <c r="L338" s="1083"/>
    </row>
    <row r="339" spans="2:12">
      <c r="C339" s="9"/>
      <c r="D339" s="9"/>
      <c r="E339" s="10"/>
      <c r="F339" s="11"/>
      <c r="G339" s="11"/>
      <c r="H339" s="1084"/>
      <c r="I339" s="1084"/>
      <c r="J339" s="1084"/>
      <c r="K339" s="1084"/>
      <c r="L339" s="1084"/>
    </row>
    <row r="340" spans="2:12">
      <c r="C340" s="9"/>
      <c r="D340" s="9"/>
      <c r="E340" s="10"/>
      <c r="F340" s="11"/>
      <c r="G340" s="11"/>
      <c r="H340" s="19"/>
      <c r="I340" s="19"/>
      <c r="J340" s="19"/>
      <c r="K340" s="19"/>
      <c r="L340" s="19"/>
    </row>
    <row r="341" spans="2:12">
      <c r="C341" s="9"/>
      <c r="D341" s="9"/>
      <c r="E341" s="10"/>
      <c r="F341" s="11"/>
      <c r="G341" s="11"/>
      <c r="H341" s="19"/>
      <c r="I341" s="19"/>
      <c r="J341" s="19"/>
      <c r="K341" s="19"/>
      <c r="L341" s="19"/>
    </row>
    <row r="342" spans="2:12">
      <c r="C342" s="9"/>
      <c r="D342" s="9"/>
      <c r="E342" s="10"/>
      <c r="F342" s="11"/>
      <c r="G342" s="11"/>
      <c r="H342" s="1087"/>
      <c r="I342" s="1087"/>
      <c r="J342" s="1087"/>
      <c r="K342" s="1087"/>
      <c r="L342" s="1087"/>
    </row>
    <row r="343" spans="2:12">
      <c r="B343" s="12"/>
      <c r="C343" s="13"/>
      <c r="D343" s="13"/>
      <c r="E343" s="14"/>
      <c r="F343" s="15"/>
      <c r="G343" s="15"/>
      <c r="H343" s="1087"/>
      <c r="I343" s="1087"/>
      <c r="J343" s="1087"/>
      <c r="K343" s="1087"/>
      <c r="L343" s="1087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</row>
    <row r="363" spans="1:14" ht="23.5">
      <c r="A363" s="6"/>
      <c r="B363" s="16"/>
      <c r="C363" s="16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7"/>
    </row>
    <row r="367" spans="1:14">
      <c r="B367" s="7"/>
      <c r="C367" s="7"/>
      <c r="D367" s="7"/>
      <c r="E367" s="7"/>
      <c r="F367" s="7"/>
      <c r="G367" s="7"/>
      <c r="H367" s="1082"/>
      <c r="I367" s="1082"/>
      <c r="J367" s="1082"/>
      <c r="K367" s="1082"/>
      <c r="L367" s="1082"/>
    </row>
    <row r="368" spans="1:14">
      <c r="C368" s="9"/>
      <c r="D368" s="9"/>
      <c r="E368" s="10"/>
      <c r="F368" s="11"/>
      <c r="G368" s="11"/>
      <c r="H368" s="1083"/>
      <c r="I368" s="1083"/>
      <c r="J368" s="1083"/>
      <c r="K368" s="1083"/>
      <c r="L368" s="1083"/>
    </row>
    <row r="369" spans="2:12">
      <c r="C369" s="9"/>
      <c r="D369" s="9"/>
      <c r="E369" s="10"/>
      <c r="F369" s="11"/>
      <c r="G369" s="11"/>
      <c r="H369" s="1084"/>
      <c r="I369" s="1084"/>
      <c r="J369" s="1084"/>
      <c r="K369" s="1084"/>
      <c r="L369" s="1084"/>
    </row>
    <row r="370" spans="2:12">
      <c r="C370" s="9"/>
      <c r="D370" s="9"/>
      <c r="E370" s="10"/>
      <c r="F370" s="11"/>
      <c r="G370" s="11"/>
      <c r="H370" s="19"/>
      <c r="I370" s="19"/>
      <c r="J370" s="19"/>
      <c r="K370" s="19"/>
      <c r="L370" s="19"/>
    </row>
    <row r="371" spans="2:12">
      <c r="C371" s="9"/>
      <c r="D371" s="9"/>
      <c r="E371" s="10"/>
      <c r="F371" s="11"/>
      <c r="G371" s="11"/>
      <c r="H371" s="19"/>
      <c r="I371" s="19"/>
      <c r="J371" s="19"/>
      <c r="K371" s="19"/>
      <c r="L371" s="19"/>
    </row>
    <row r="372" spans="2:12">
      <c r="C372" s="9"/>
      <c r="D372" s="9"/>
      <c r="E372" s="10"/>
      <c r="F372" s="11"/>
      <c r="G372" s="11"/>
      <c r="H372" s="1087"/>
      <c r="I372" s="1087"/>
      <c r="J372" s="1087"/>
      <c r="K372" s="1087"/>
      <c r="L372" s="1087"/>
    </row>
    <row r="373" spans="2:12">
      <c r="B373" s="12"/>
      <c r="C373" s="13"/>
      <c r="D373" s="13"/>
      <c r="E373" s="14"/>
      <c r="F373" s="15"/>
      <c r="G373" s="15"/>
      <c r="H373" s="1087"/>
      <c r="I373" s="1087"/>
      <c r="J373" s="1087"/>
      <c r="K373" s="1087"/>
      <c r="L373" s="1087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</row>
    <row r="393" spans="1:14" ht="23.5">
      <c r="A393" s="6"/>
      <c r="B393" s="16"/>
      <c r="C393" s="16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7"/>
    </row>
    <row r="397" spans="1:14">
      <c r="B397" s="7"/>
      <c r="C397" s="7"/>
      <c r="D397" s="7"/>
      <c r="E397" s="7"/>
      <c r="F397" s="7"/>
      <c r="G397" s="7"/>
      <c r="H397" s="1082"/>
      <c r="I397" s="1082"/>
      <c r="J397" s="1082"/>
      <c r="K397" s="1082"/>
      <c r="L397" s="1082"/>
    </row>
    <row r="398" spans="1:14">
      <c r="C398" s="9"/>
      <c r="D398" s="9"/>
      <c r="E398" s="10"/>
      <c r="F398" s="11"/>
      <c r="G398" s="11"/>
      <c r="H398" s="1083"/>
      <c r="I398" s="1083"/>
      <c r="J398" s="1083"/>
      <c r="K398" s="1083"/>
      <c r="L398" s="1083"/>
    </row>
    <row r="399" spans="1:14">
      <c r="C399" s="9"/>
      <c r="D399" s="9"/>
      <c r="E399" s="10"/>
      <c r="F399" s="11"/>
      <c r="G399" s="11"/>
      <c r="H399" s="1084"/>
      <c r="I399" s="1084"/>
      <c r="J399" s="1084"/>
      <c r="K399" s="1084"/>
      <c r="L399" s="1084"/>
    </row>
    <row r="400" spans="1:14">
      <c r="C400" s="9"/>
      <c r="D400" s="9"/>
      <c r="E400" s="10"/>
      <c r="F400" s="11"/>
      <c r="G400" s="11"/>
      <c r="H400" s="19"/>
      <c r="I400" s="19"/>
      <c r="J400" s="19"/>
      <c r="K400" s="19"/>
      <c r="L400" s="19"/>
    </row>
    <row r="401" spans="2:12">
      <c r="C401" s="9"/>
      <c r="D401" s="9"/>
      <c r="E401" s="10"/>
      <c r="F401" s="11"/>
      <c r="G401" s="11"/>
      <c r="H401" s="19"/>
      <c r="I401" s="19"/>
      <c r="J401" s="19"/>
      <c r="K401" s="19"/>
      <c r="L401" s="19"/>
    </row>
    <row r="402" spans="2:12">
      <c r="C402" s="9"/>
      <c r="D402" s="9"/>
      <c r="E402" s="10"/>
      <c r="F402" s="11"/>
      <c r="G402" s="11"/>
      <c r="H402" s="1087"/>
      <c r="I402" s="1087"/>
      <c r="J402" s="1087"/>
      <c r="K402" s="1087"/>
      <c r="L402" s="1087"/>
    </row>
    <row r="403" spans="2:12">
      <c r="B403" s="12"/>
      <c r="C403" s="13"/>
      <c r="D403" s="13"/>
      <c r="E403" s="14"/>
      <c r="F403" s="15"/>
      <c r="G403" s="15"/>
      <c r="H403" s="1087"/>
      <c r="I403" s="1087"/>
      <c r="J403" s="1087"/>
      <c r="K403" s="1087"/>
      <c r="L403" s="1087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</row>
    <row r="423" spans="1:14" ht="23.5">
      <c r="A423" s="6"/>
      <c r="B423" s="16"/>
      <c r="C423" s="16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7"/>
    </row>
    <row r="427" spans="1:14">
      <c r="B427" s="7"/>
      <c r="C427" s="7"/>
      <c r="D427" s="7"/>
      <c r="E427" s="7"/>
      <c r="F427" s="7"/>
      <c r="G427" s="7"/>
      <c r="H427" s="1082"/>
      <c r="I427" s="1082"/>
      <c r="J427" s="1082"/>
      <c r="K427" s="1082"/>
      <c r="L427" s="1082"/>
    </row>
    <row r="428" spans="1:14">
      <c r="C428" s="9"/>
      <c r="D428" s="9"/>
      <c r="E428" s="10"/>
      <c r="F428" s="11"/>
      <c r="G428" s="11"/>
      <c r="H428" s="20"/>
      <c r="I428" s="20"/>
      <c r="J428" s="20"/>
      <c r="K428" s="20"/>
      <c r="L428" s="20"/>
    </row>
    <row r="429" spans="1:14">
      <c r="C429" s="9"/>
      <c r="D429" s="9"/>
      <c r="E429" s="10"/>
      <c r="F429" s="11"/>
      <c r="G429" s="11"/>
      <c r="H429" s="19"/>
      <c r="I429" s="19"/>
      <c r="J429" s="19"/>
      <c r="K429" s="19"/>
      <c r="L429" s="19"/>
    </row>
    <row r="430" spans="1:14">
      <c r="C430" s="9"/>
      <c r="D430" s="9"/>
      <c r="E430" s="10"/>
      <c r="F430" s="11"/>
      <c r="G430" s="11"/>
      <c r="H430" s="19"/>
      <c r="I430" s="19"/>
      <c r="J430" s="19"/>
      <c r="K430" s="19"/>
      <c r="L430" s="19"/>
    </row>
    <row r="431" spans="1:14">
      <c r="C431" s="9"/>
      <c r="D431" s="9"/>
      <c r="E431" s="10"/>
      <c r="F431" s="11"/>
      <c r="G431" s="11"/>
      <c r="H431" s="19"/>
      <c r="I431" s="19"/>
      <c r="J431" s="19"/>
      <c r="K431" s="19"/>
      <c r="L431" s="19"/>
    </row>
    <row r="432" spans="1:14">
      <c r="C432" s="9"/>
      <c r="D432" s="9"/>
      <c r="E432" s="10"/>
      <c r="F432" s="11"/>
      <c r="G432" s="11"/>
      <c r="H432" s="21"/>
      <c r="I432" s="21"/>
      <c r="J432" s="21"/>
      <c r="K432" s="21"/>
      <c r="L432" s="21"/>
    </row>
    <row r="433" spans="1:12">
      <c r="B433" s="12"/>
      <c r="C433" s="13"/>
      <c r="D433" s="13"/>
      <c r="E433" s="14"/>
      <c r="F433" s="15"/>
      <c r="G433" s="15"/>
      <c r="H433" s="21"/>
      <c r="I433" s="21"/>
      <c r="J433" s="21"/>
      <c r="K433" s="21"/>
      <c r="L433" s="21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</row>
    <row r="453" spans="1:14" ht="23.5">
      <c r="A453" s="6"/>
      <c r="B453" s="16"/>
      <c r="C453" s="16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7"/>
    </row>
    <row r="457" spans="1:14">
      <c r="B457" s="7"/>
      <c r="C457" s="7"/>
      <c r="D457" s="7"/>
      <c r="E457" s="7"/>
      <c r="F457" s="7"/>
      <c r="G457" s="7"/>
      <c r="H457" s="1082"/>
      <c r="I457" s="1082"/>
      <c r="J457" s="1082"/>
      <c r="K457" s="1082"/>
      <c r="L457" s="1082"/>
    </row>
    <row r="458" spans="1:14">
      <c r="C458" s="9"/>
      <c r="D458" s="9"/>
      <c r="E458" s="10"/>
      <c r="F458" s="11"/>
      <c r="G458" s="11"/>
      <c r="H458" s="20"/>
      <c r="I458" s="20"/>
      <c r="J458" s="20"/>
      <c r="K458" s="20"/>
      <c r="L458" s="20"/>
    </row>
    <row r="459" spans="1:14">
      <c r="C459" s="9"/>
      <c r="D459" s="9"/>
      <c r="E459" s="10"/>
      <c r="F459" s="11"/>
      <c r="G459" s="11"/>
      <c r="H459" s="19"/>
      <c r="I459" s="19"/>
      <c r="J459" s="19"/>
      <c r="K459" s="19"/>
      <c r="L459" s="19"/>
    </row>
    <row r="460" spans="1:14">
      <c r="C460" s="9"/>
      <c r="D460" s="9"/>
      <c r="E460" s="10"/>
      <c r="F460" s="11"/>
      <c r="G460" s="11"/>
      <c r="H460" s="19"/>
      <c r="I460" s="19"/>
      <c r="J460" s="19"/>
      <c r="K460" s="19"/>
      <c r="L460" s="19"/>
    </row>
    <row r="461" spans="1:14">
      <c r="C461" s="9"/>
      <c r="D461" s="9"/>
      <c r="E461" s="10"/>
      <c r="F461" s="11"/>
      <c r="G461" s="11"/>
      <c r="H461" s="19"/>
      <c r="I461" s="19"/>
      <c r="J461" s="19"/>
      <c r="K461" s="19"/>
      <c r="L461" s="19"/>
    </row>
    <row r="462" spans="1:14">
      <c r="C462" s="9"/>
      <c r="D462" s="9"/>
      <c r="E462" s="10"/>
      <c r="F462" s="11"/>
      <c r="G462" s="11"/>
      <c r="H462" s="21"/>
      <c r="I462" s="21"/>
      <c r="J462" s="21"/>
      <c r="K462" s="21"/>
      <c r="L462" s="21"/>
    </row>
    <row r="463" spans="1:14">
      <c r="B463" s="12"/>
      <c r="C463" s="13"/>
      <c r="D463" s="13"/>
      <c r="E463" s="14"/>
      <c r="F463" s="15"/>
      <c r="G463" s="15"/>
      <c r="H463" s="21"/>
      <c r="I463" s="21"/>
      <c r="J463" s="21"/>
      <c r="K463" s="21"/>
      <c r="L463" s="21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</row>
    <row r="483" spans="1:14" ht="23.5">
      <c r="A483" s="6"/>
      <c r="B483" s="16"/>
      <c r="C483" s="16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7"/>
    </row>
    <row r="487" spans="1:14">
      <c r="B487" s="7"/>
      <c r="C487" s="7"/>
      <c r="D487" s="7"/>
      <c r="E487" s="7"/>
      <c r="F487" s="7"/>
      <c r="G487" s="7"/>
      <c r="H487" s="1082"/>
      <c r="I487" s="1082"/>
      <c r="J487" s="1082"/>
      <c r="K487" s="1082"/>
      <c r="L487" s="1082"/>
    </row>
    <row r="488" spans="1:14">
      <c r="C488" s="9"/>
      <c r="D488" s="9"/>
      <c r="E488" s="10"/>
      <c r="F488" s="11"/>
      <c r="G488" s="11"/>
      <c r="H488" s="20"/>
      <c r="I488" s="20"/>
      <c r="J488" s="20"/>
      <c r="K488" s="20"/>
      <c r="L488" s="20"/>
    </row>
    <row r="489" spans="1:14">
      <c r="C489" s="9"/>
      <c r="D489" s="9"/>
      <c r="E489" s="10"/>
      <c r="F489" s="11"/>
      <c r="G489" s="11"/>
      <c r="H489" s="19"/>
      <c r="I489" s="19"/>
      <c r="J489" s="19"/>
      <c r="K489" s="19"/>
      <c r="L489" s="19"/>
    </row>
    <row r="490" spans="1:14">
      <c r="C490" s="9"/>
      <c r="D490" s="9"/>
      <c r="E490" s="10"/>
      <c r="F490" s="11"/>
      <c r="G490" s="11"/>
      <c r="H490" s="19"/>
      <c r="I490" s="19"/>
      <c r="J490" s="19"/>
      <c r="K490" s="19"/>
      <c r="L490" s="19"/>
    </row>
    <row r="491" spans="1:14">
      <c r="C491" s="9"/>
      <c r="D491" s="9"/>
      <c r="E491" s="10"/>
      <c r="F491" s="11"/>
      <c r="G491" s="11"/>
      <c r="H491" s="19"/>
      <c r="I491" s="19"/>
      <c r="J491" s="19"/>
      <c r="K491" s="19"/>
      <c r="L491" s="19"/>
    </row>
    <row r="492" spans="1:14">
      <c r="C492" s="9"/>
      <c r="D492" s="9"/>
      <c r="E492" s="10"/>
      <c r="F492" s="11"/>
      <c r="G492" s="11"/>
      <c r="H492" s="21"/>
      <c r="I492" s="21"/>
      <c r="J492" s="21"/>
      <c r="K492" s="21"/>
      <c r="L492" s="21"/>
    </row>
    <row r="493" spans="1:14">
      <c r="B493" s="12"/>
      <c r="C493" s="13"/>
      <c r="D493" s="13"/>
      <c r="E493" s="14"/>
      <c r="F493" s="15"/>
      <c r="G493" s="15"/>
      <c r="H493" s="21"/>
      <c r="I493" s="21"/>
      <c r="J493" s="21"/>
      <c r="K493" s="21"/>
      <c r="L493" s="21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</row>
    <row r="512" spans="1:14" ht="23.5">
      <c r="A512" s="6"/>
      <c r="B512" s="16"/>
      <c r="C512" s="16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7"/>
    </row>
    <row r="516" spans="2:12">
      <c r="B516" s="7"/>
      <c r="C516" s="7"/>
      <c r="D516" s="7"/>
      <c r="E516" s="7"/>
      <c r="F516" s="7"/>
      <c r="G516" s="7"/>
      <c r="H516" s="1082"/>
      <c r="I516" s="1082"/>
      <c r="J516" s="1082"/>
      <c r="K516" s="1082"/>
      <c r="L516" s="1082"/>
    </row>
    <row r="517" spans="2:12">
      <c r="C517" s="9"/>
      <c r="D517" s="9"/>
      <c r="E517" s="10"/>
      <c r="F517" s="11"/>
      <c r="G517" s="11"/>
      <c r="H517" s="19"/>
      <c r="I517" s="20"/>
      <c r="J517" s="20"/>
      <c r="K517" s="20"/>
      <c r="L517" s="20"/>
    </row>
    <row r="518" spans="2:12">
      <c r="C518" s="9"/>
      <c r="D518" s="9"/>
      <c r="E518" s="10"/>
      <c r="F518" s="11"/>
      <c r="G518" s="11"/>
      <c r="H518" s="19"/>
      <c r="I518" s="19"/>
      <c r="J518" s="19"/>
      <c r="K518" s="19"/>
      <c r="L518" s="19"/>
    </row>
    <row r="519" spans="2:12">
      <c r="C519" s="9"/>
      <c r="D519" s="9"/>
      <c r="E519" s="10"/>
      <c r="F519" s="11"/>
      <c r="G519" s="11"/>
      <c r="H519" s="19"/>
      <c r="I519" s="19"/>
      <c r="J519" s="19"/>
      <c r="K519" s="19"/>
      <c r="L519" s="19"/>
    </row>
    <row r="520" spans="2:12">
      <c r="C520" s="9"/>
      <c r="D520" s="9"/>
      <c r="E520" s="10"/>
      <c r="F520" s="11"/>
      <c r="G520" s="11"/>
      <c r="H520" s="19"/>
      <c r="I520" s="19"/>
      <c r="J520" s="19"/>
      <c r="K520" s="19"/>
      <c r="L520" s="19"/>
    </row>
    <row r="521" spans="2:12">
      <c r="C521" s="9"/>
      <c r="D521" s="9"/>
      <c r="E521" s="10"/>
      <c r="F521" s="11"/>
      <c r="G521" s="11"/>
      <c r="H521" s="21"/>
      <c r="I521" s="21"/>
      <c r="J521" s="21"/>
      <c r="K521" s="21"/>
      <c r="L521" s="21"/>
    </row>
    <row r="522" spans="2:12">
      <c r="B522" s="12"/>
      <c r="C522" s="13"/>
      <c r="D522" s="13"/>
      <c r="E522" s="14"/>
      <c r="F522" s="15"/>
      <c r="G522" s="15"/>
      <c r="H522" s="21"/>
      <c r="I522" s="21"/>
      <c r="J522" s="21"/>
      <c r="K522" s="21"/>
      <c r="L522" s="21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</row>
    <row r="542" spans="1:14" ht="23.5">
      <c r="A542" s="6"/>
      <c r="B542" s="16"/>
      <c r="C542" s="16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7"/>
    </row>
    <row r="546" spans="2:12">
      <c r="B546" s="7"/>
      <c r="C546" s="7"/>
      <c r="D546" s="7"/>
      <c r="E546" s="7"/>
      <c r="F546" s="7"/>
      <c r="G546" s="7"/>
      <c r="H546" s="1082"/>
      <c r="I546" s="1082"/>
      <c r="J546" s="1082"/>
      <c r="K546" s="1082"/>
      <c r="L546" s="1082"/>
    </row>
    <row r="547" spans="2:12">
      <c r="C547" s="9"/>
      <c r="D547" s="9"/>
      <c r="E547" s="10"/>
      <c r="F547" s="11"/>
      <c r="G547" s="11"/>
      <c r="H547" s="19"/>
      <c r="I547" s="20"/>
      <c r="J547" s="20"/>
      <c r="K547" s="20"/>
      <c r="L547" s="20"/>
    </row>
    <row r="548" spans="2:12">
      <c r="C548" s="9"/>
      <c r="D548" s="9"/>
      <c r="E548" s="10"/>
      <c r="F548" s="11"/>
      <c r="G548" s="11"/>
      <c r="H548" s="19"/>
      <c r="I548" s="19"/>
      <c r="J548" s="19"/>
      <c r="K548" s="19"/>
      <c r="L548" s="19"/>
    </row>
    <row r="549" spans="2:12">
      <c r="C549" s="9"/>
      <c r="D549" s="9"/>
      <c r="E549" s="10"/>
      <c r="F549" s="11"/>
      <c r="G549" s="11"/>
      <c r="H549" s="19"/>
      <c r="I549" s="19"/>
      <c r="J549" s="19"/>
      <c r="K549" s="19"/>
      <c r="L549" s="19"/>
    </row>
    <row r="550" spans="2:12">
      <c r="C550" s="9"/>
      <c r="D550" s="9"/>
      <c r="E550" s="10"/>
      <c r="F550" s="11"/>
      <c r="G550" s="11"/>
      <c r="H550" s="19"/>
      <c r="I550" s="19"/>
      <c r="J550" s="19"/>
      <c r="K550" s="19"/>
      <c r="L550" s="19"/>
    </row>
    <row r="551" spans="2:12">
      <c r="C551" s="9"/>
      <c r="D551" s="9"/>
      <c r="E551" s="10"/>
      <c r="F551" s="11"/>
      <c r="G551" s="11"/>
      <c r="H551" s="21"/>
      <c r="I551" s="21"/>
      <c r="J551" s="21"/>
      <c r="K551" s="21"/>
      <c r="L551" s="21"/>
    </row>
    <row r="552" spans="2:12">
      <c r="B552" s="12"/>
      <c r="C552" s="13"/>
      <c r="D552" s="13"/>
      <c r="E552" s="14"/>
      <c r="F552" s="15"/>
      <c r="G552" s="15"/>
      <c r="H552" s="21"/>
      <c r="I552" s="21"/>
      <c r="J552" s="21"/>
      <c r="K552" s="21"/>
      <c r="L552" s="21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56"/>
      <c r="C571" s="656"/>
      <c r="D571" s="656"/>
      <c r="E571" s="656"/>
      <c r="F571" s="656"/>
      <c r="G571" s="656"/>
      <c r="H571" s="656"/>
      <c r="I571" s="656"/>
      <c r="J571" s="656"/>
      <c r="K571" s="656"/>
      <c r="L571" s="656"/>
    </row>
    <row r="572" spans="1:14" ht="23.5">
      <c r="A572" s="6"/>
      <c r="B572" s="16"/>
      <c r="C572" s="16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7"/>
    </row>
    <row r="576" spans="1:14">
      <c r="B576" s="7"/>
      <c r="C576" s="7"/>
      <c r="D576" s="7"/>
      <c r="E576" s="7"/>
      <c r="F576" s="7"/>
      <c r="G576" s="7"/>
      <c r="H576" s="1082"/>
      <c r="I576" s="1082"/>
      <c r="J576" s="1082"/>
      <c r="K576" s="1082"/>
      <c r="L576" s="1082"/>
    </row>
    <row r="577" spans="2:12">
      <c r="C577" s="9"/>
      <c r="D577" s="9"/>
      <c r="E577" s="10"/>
      <c r="F577" s="11"/>
      <c r="G577" s="11"/>
      <c r="H577" s="19"/>
      <c r="I577" s="20"/>
      <c r="J577" s="20"/>
      <c r="K577" s="20"/>
      <c r="L577" s="20"/>
    </row>
    <row r="578" spans="2:12">
      <c r="C578" s="9"/>
      <c r="D578" s="9"/>
      <c r="E578" s="10"/>
      <c r="F578" s="11"/>
      <c r="G578" s="11"/>
      <c r="H578" s="19"/>
      <c r="I578" s="19"/>
      <c r="J578" s="19"/>
      <c r="K578" s="19"/>
      <c r="L578" s="19"/>
    </row>
    <row r="579" spans="2:12">
      <c r="C579" s="9"/>
      <c r="D579" s="9"/>
      <c r="E579" s="10"/>
      <c r="F579" s="11"/>
      <c r="G579" s="11"/>
      <c r="H579" s="19"/>
      <c r="I579" s="19"/>
      <c r="J579" s="19"/>
      <c r="K579" s="19"/>
      <c r="L579" s="19"/>
    </row>
    <row r="580" spans="2:12">
      <c r="C580" s="9"/>
      <c r="D580" s="9"/>
      <c r="E580" s="10"/>
      <c r="F580" s="11"/>
      <c r="G580" s="11"/>
      <c r="H580" s="19"/>
      <c r="I580" s="19"/>
      <c r="J580" s="19"/>
      <c r="K580" s="19"/>
      <c r="L580" s="19"/>
    </row>
    <row r="581" spans="2:12">
      <c r="C581" s="9"/>
      <c r="D581" s="9"/>
      <c r="E581" s="10"/>
      <c r="F581" s="11"/>
      <c r="G581" s="11"/>
      <c r="H581" s="21"/>
      <c r="I581" s="21"/>
      <c r="J581" s="21"/>
      <c r="K581" s="21"/>
      <c r="L581" s="21"/>
    </row>
    <row r="582" spans="2:12">
      <c r="B582" s="12"/>
      <c r="C582" s="13"/>
      <c r="D582" s="13"/>
      <c r="E582" s="14"/>
      <c r="F582" s="15"/>
      <c r="G582" s="15"/>
      <c r="H582" s="21"/>
      <c r="I582" s="21"/>
      <c r="J582" s="21"/>
      <c r="K582" s="21"/>
      <c r="L582" s="21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56"/>
      <c r="C601" s="656"/>
      <c r="D601" s="656"/>
      <c r="E601" s="656"/>
      <c r="F601" s="656"/>
      <c r="G601" s="656"/>
      <c r="H601" s="656"/>
      <c r="I601" s="656"/>
      <c r="J601" s="656"/>
      <c r="K601" s="656"/>
      <c r="L601" s="656"/>
    </row>
    <row r="602" spans="1:14" ht="23.5">
      <c r="A602" s="6"/>
      <c r="B602" s="16"/>
      <c r="C602" s="16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7"/>
    </row>
    <row r="606" spans="1:14">
      <c r="B606" s="7"/>
      <c r="C606" s="7"/>
      <c r="D606" s="7"/>
      <c r="E606" s="7"/>
      <c r="F606" s="7"/>
      <c r="G606" s="7"/>
      <c r="H606" s="1082"/>
      <c r="I606" s="1082"/>
      <c r="J606" s="1082"/>
      <c r="K606" s="1082"/>
      <c r="L606" s="1082"/>
    </row>
    <row r="607" spans="1:14">
      <c r="C607" s="9"/>
      <c r="D607" s="9"/>
      <c r="E607" s="10"/>
      <c r="F607" s="11"/>
      <c r="G607" s="11"/>
      <c r="H607" s="19"/>
      <c r="I607" s="20"/>
      <c r="J607" s="20"/>
      <c r="K607" s="20"/>
      <c r="L607" s="20"/>
    </row>
    <row r="608" spans="1:14">
      <c r="C608" s="9"/>
      <c r="D608" s="9"/>
      <c r="E608" s="10"/>
      <c r="F608" s="11"/>
      <c r="G608" s="11"/>
      <c r="H608" s="19"/>
      <c r="I608" s="19"/>
      <c r="J608" s="19"/>
      <c r="K608" s="19"/>
      <c r="L608" s="19"/>
    </row>
    <row r="609" spans="2:12">
      <c r="C609" s="9"/>
      <c r="D609" s="9"/>
      <c r="E609" s="10"/>
      <c r="F609" s="11"/>
      <c r="G609" s="11"/>
      <c r="H609" s="19"/>
      <c r="I609" s="19"/>
      <c r="J609" s="19"/>
      <c r="K609" s="19"/>
      <c r="L609" s="19"/>
    </row>
    <row r="610" spans="2:12">
      <c r="C610" s="9"/>
      <c r="D610" s="9"/>
      <c r="E610" s="10"/>
      <c r="F610" s="11"/>
      <c r="G610" s="11"/>
      <c r="H610" s="19"/>
      <c r="I610" s="19"/>
      <c r="J610" s="19"/>
      <c r="K610" s="19"/>
      <c r="L610" s="19"/>
    </row>
    <row r="611" spans="2:12">
      <c r="C611" s="9"/>
      <c r="D611" s="9"/>
      <c r="E611" s="10"/>
      <c r="F611" s="11"/>
      <c r="G611" s="11"/>
      <c r="H611" s="21"/>
      <c r="I611" s="21"/>
      <c r="J611" s="21"/>
      <c r="K611" s="21"/>
      <c r="L611" s="21"/>
    </row>
    <row r="612" spans="2:12">
      <c r="B612" s="12"/>
      <c r="C612" s="13"/>
      <c r="D612" s="13"/>
      <c r="E612" s="14"/>
      <c r="F612" s="15"/>
      <c r="G612" s="15"/>
      <c r="H612" s="21"/>
      <c r="I612" s="21"/>
      <c r="J612" s="21"/>
      <c r="K612" s="21"/>
      <c r="L612" s="21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56"/>
      <c r="C631" s="656"/>
      <c r="D631" s="656"/>
      <c r="E631" s="656"/>
      <c r="F631" s="656"/>
      <c r="G631" s="656"/>
      <c r="H631" s="656"/>
      <c r="I631" s="656"/>
      <c r="J631" s="656"/>
      <c r="K631" s="656"/>
      <c r="L631" s="656"/>
    </row>
    <row r="632" spans="1:14" ht="23.5">
      <c r="A632" s="6"/>
      <c r="B632" s="16"/>
      <c r="C632" s="16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7"/>
    </row>
    <row r="636" spans="1:14">
      <c r="B636" s="7"/>
      <c r="C636" s="7"/>
      <c r="D636" s="7"/>
      <c r="E636" s="7"/>
      <c r="F636" s="7"/>
      <c r="G636" s="7"/>
      <c r="H636" s="1082"/>
      <c r="I636" s="1082"/>
      <c r="J636" s="1082"/>
      <c r="K636" s="1082"/>
      <c r="L636" s="1082"/>
    </row>
    <row r="637" spans="1:14">
      <c r="C637" s="9"/>
      <c r="D637" s="9"/>
      <c r="E637" s="10"/>
      <c r="F637" s="11"/>
      <c r="G637" s="11"/>
      <c r="H637" s="19"/>
      <c r="I637" s="20"/>
      <c r="J637" s="20"/>
      <c r="K637" s="20"/>
      <c r="L637" s="20"/>
    </row>
    <row r="638" spans="1:14">
      <c r="C638" s="9"/>
      <c r="D638" s="9"/>
      <c r="E638" s="10"/>
      <c r="F638" s="11"/>
      <c r="G638" s="11"/>
      <c r="H638" s="19"/>
      <c r="I638" s="19"/>
      <c r="J638" s="19"/>
      <c r="K638" s="19"/>
      <c r="L638" s="19"/>
    </row>
    <row r="639" spans="1:14">
      <c r="C639" s="9"/>
      <c r="D639" s="9"/>
      <c r="E639" s="10"/>
      <c r="F639" s="11"/>
      <c r="G639" s="11"/>
      <c r="H639" s="19"/>
      <c r="I639" s="19"/>
      <c r="J639" s="19"/>
      <c r="K639" s="19"/>
      <c r="L639" s="19"/>
    </row>
    <row r="640" spans="1:14">
      <c r="C640" s="9"/>
      <c r="D640" s="9"/>
      <c r="E640" s="10"/>
      <c r="F640" s="11"/>
      <c r="G640" s="11"/>
      <c r="H640" s="19"/>
      <c r="I640" s="19"/>
      <c r="J640" s="19"/>
      <c r="K640" s="19"/>
      <c r="L640" s="19"/>
    </row>
    <row r="641" spans="2:12">
      <c r="C641" s="9"/>
      <c r="D641" s="9"/>
      <c r="E641" s="10"/>
      <c r="F641" s="11"/>
      <c r="G641" s="11"/>
      <c r="H641" s="21"/>
      <c r="I641" s="21"/>
      <c r="J641" s="21"/>
      <c r="K641" s="21"/>
      <c r="L641" s="21"/>
    </row>
    <row r="642" spans="2:12">
      <c r="B642" s="12"/>
      <c r="C642" s="13"/>
      <c r="D642" s="13"/>
      <c r="E642" s="14"/>
      <c r="F642" s="15"/>
      <c r="G642" s="15"/>
      <c r="H642" s="21"/>
      <c r="I642" s="21"/>
      <c r="J642" s="21"/>
      <c r="K642" s="21"/>
      <c r="L642" s="21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56"/>
      <c r="C661" s="656"/>
      <c r="D661" s="656"/>
      <c r="E661" s="656"/>
      <c r="F661" s="656"/>
      <c r="G661" s="656"/>
      <c r="H661" s="656"/>
      <c r="I661" s="656"/>
      <c r="J661" s="656"/>
      <c r="K661" s="656"/>
      <c r="L661" s="656"/>
    </row>
    <row r="662" spans="1:14" ht="23.5">
      <c r="A662" s="6"/>
      <c r="B662" s="16"/>
      <c r="C662" s="16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7"/>
    </row>
    <row r="666" spans="1:14">
      <c r="B666" s="7"/>
      <c r="C666" s="7"/>
      <c r="D666" s="7"/>
      <c r="E666" s="7"/>
      <c r="F666" s="7"/>
      <c r="G666" s="7"/>
      <c r="H666" s="1082"/>
      <c r="I666" s="1082"/>
      <c r="J666" s="1082"/>
      <c r="K666" s="1082"/>
      <c r="L666" s="1082"/>
    </row>
    <row r="667" spans="1:14">
      <c r="C667" s="9"/>
      <c r="D667" s="9"/>
      <c r="E667" s="10"/>
      <c r="F667" s="11"/>
      <c r="G667" s="11"/>
      <c r="H667" s="19"/>
      <c r="I667" s="20"/>
      <c r="J667" s="20"/>
      <c r="K667" s="20"/>
      <c r="L667" s="20"/>
    </row>
    <row r="668" spans="1:14">
      <c r="C668" s="9"/>
      <c r="D668" s="9"/>
      <c r="E668" s="10"/>
      <c r="F668" s="11"/>
      <c r="G668" s="11"/>
      <c r="H668" s="19"/>
      <c r="I668" s="19"/>
      <c r="J668" s="19"/>
      <c r="K668" s="19"/>
      <c r="L668" s="19"/>
    </row>
    <row r="669" spans="1:14">
      <c r="C669" s="9"/>
      <c r="D669" s="9"/>
      <c r="E669" s="10"/>
      <c r="F669" s="11"/>
      <c r="G669" s="11"/>
      <c r="H669" s="19"/>
      <c r="I669" s="19"/>
      <c r="J669" s="19"/>
      <c r="K669" s="19"/>
      <c r="L669" s="19"/>
    </row>
    <row r="670" spans="1:14">
      <c r="C670" s="9"/>
      <c r="D670" s="9"/>
      <c r="E670" s="10"/>
      <c r="F670" s="11"/>
      <c r="G670" s="11"/>
      <c r="H670" s="19"/>
      <c r="I670" s="19"/>
      <c r="J670" s="19"/>
      <c r="K670" s="19"/>
      <c r="L670" s="19"/>
    </row>
    <row r="671" spans="1:14">
      <c r="C671" s="9"/>
      <c r="D671" s="9"/>
      <c r="E671" s="10"/>
      <c r="F671" s="11"/>
      <c r="G671" s="11"/>
      <c r="H671" s="21"/>
      <c r="I671" s="21"/>
      <c r="J671" s="21"/>
      <c r="K671" s="21"/>
      <c r="L671" s="21"/>
    </row>
    <row r="672" spans="1:14">
      <c r="B672" s="12"/>
      <c r="C672" s="13"/>
      <c r="D672" s="13"/>
      <c r="E672" s="14"/>
      <c r="F672" s="15"/>
      <c r="G672" s="15"/>
      <c r="H672" s="21"/>
      <c r="I672" s="21"/>
      <c r="J672" s="21"/>
      <c r="K672" s="21"/>
      <c r="L672" s="21"/>
    </row>
    <row r="687" spans="1:1">
      <c r="A687" s="6"/>
    </row>
    <row r="695" spans="1:12" ht="33.5">
      <c r="B695" s="656"/>
      <c r="C695" s="656"/>
      <c r="D695" s="656"/>
      <c r="E695" s="656"/>
      <c r="F695" s="656"/>
      <c r="G695" s="656"/>
      <c r="H695" s="656"/>
      <c r="I695" s="656"/>
      <c r="J695" s="656"/>
      <c r="K695" s="656"/>
      <c r="L695" s="656"/>
    </row>
    <row r="696" spans="1:12" ht="23.5">
      <c r="A696" s="6"/>
      <c r="B696" s="16"/>
      <c r="C696" s="16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7"/>
    </row>
    <row r="700" spans="1:12">
      <c r="B700" s="7"/>
      <c r="C700" s="7"/>
      <c r="D700" s="7"/>
      <c r="E700" s="7"/>
      <c r="F700" s="7"/>
      <c r="G700" s="7"/>
      <c r="H700" s="1082"/>
      <c r="I700" s="1082"/>
      <c r="J700" s="1082"/>
      <c r="K700" s="1082"/>
      <c r="L700" s="1082"/>
    </row>
    <row r="701" spans="1:12">
      <c r="C701" s="9"/>
      <c r="D701" s="9"/>
      <c r="E701" s="10"/>
      <c r="F701" s="11"/>
      <c r="G701" s="11"/>
      <c r="H701" s="19"/>
      <c r="I701" s="20"/>
      <c r="J701" s="20"/>
      <c r="K701" s="20"/>
      <c r="L701" s="20"/>
    </row>
    <row r="702" spans="1:12">
      <c r="C702" s="9"/>
      <c r="D702" s="9"/>
      <c r="E702" s="10"/>
      <c r="F702" s="11"/>
      <c r="G702" s="11"/>
      <c r="H702" s="19"/>
      <c r="I702" s="19"/>
      <c r="J702" s="19"/>
      <c r="K702" s="19"/>
      <c r="L702" s="19"/>
    </row>
    <row r="703" spans="1:12">
      <c r="C703" s="9"/>
      <c r="D703" s="9"/>
      <c r="E703" s="10"/>
      <c r="F703" s="11"/>
      <c r="G703" s="11"/>
      <c r="H703" s="19"/>
      <c r="I703" s="19"/>
      <c r="J703" s="19"/>
      <c r="K703" s="19"/>
      <c r="L703" s="19"/>
    </row>
    <row r="704" spans="1:12">
      <c r="C704" s="9"/>
      <c r="D704" s="9"/>
      <c r="E704" s="10"/>
      <c r="F704" s="11"/>
      <c r="G704" s="11"/>
      <c r="H704" s="19"/>
      <c r="I704" s="19"/>
      <c r="J704" s="19"/>
      <c r="K704" s="19"/>
      <c r="L704" s="19"/>
    </row>
    <row r="705" spans="2:12">
      <c r="C705" s="9"/>
      <c r="D705" s="9"/>
      <c r="E705" s="10"/>
      <c r="F705" s="11"/>
      <c r="G705" s="11"/>
      <c r="H705" s="21"/>
      <c r="I705" s="21"/>
      <c r="J705" s="21"/>
      <c r="K705" s="21"/>
      <c r="L705" s="21"/>
    </row>
    <row r="706" spans="2:12">
      <c r="B706" s="12"/>
      <c r="C706" s="13"/>
      <c r="D706" s="13"/>
      <c r="E706" s="14"/>
      <c r="F706" s="15"/>
      <c r="G706" s="15"/>
      <c r="H706" s="21"/>
      <c r="I706" s="21"/>
      <c r="J706" s="21"/>
      <c r="K706" s="21"/>
      <c r="L706" s="21"/>
    </row>
    <row r="721" spans="1:12">
      <c r="A721" s="6"/>
    </row>
    <row r="726" spans="1:12" ht="33.5">
      <c r="B726" s="656"/>
      <c r="C726" s="656"/>
      <c r="D726" s="656"/>
      <c r="E726" s="656"/>
      <c r="F726" s="656"/>
      <c r="G726" s="656"/>
      <c r="H726" s="656"/>
      <c r="I726" s="656"/>
      <c r="J726" s="656"/>
      <c r="K726" s="656"/>
      <c r="L726" s="656"/>
    </row>
    <row r="727" spans="1:12" ht="23.5">
      <c r="A727" s="6"/>
      <c r="B727" s="16"/>
      <c r="C727" s="16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7"/>
    </row>
    <row r="731" spans="1:12">
      <c r="B731" s="7"/>
      <c r="C731" s="7"/>
      <c r="D731" s="7"/>
      <c r="E731" s="7"/>
      <c r="F731" s="7"/>
      <c r="G731" s="7"/>
      <c r="H731" s="1082"/>
      <c r="I731" s="1082"/>
      <c r="J731" s="1082"/>
      <c r="K731" s="1082"/>
      <c r="L731" s="1082"/>
    </row>
    <row r="732" spans="1:12">
      <c r="C732" s="9"/>
      <c r="D732" s="9"/>
      <c r="E732" s="10"/>
      <c r="F732" s="11"/>
      <c r="G732" s="11"/>
      <c r="H732" s="19"/>
      <c r="I732" s="20"/>
      <c r="J732" s="20"/>
      <c r="K732" s="20"/>
      <c r="L732" s="20"/>
    </row>
    <row r="733" spans="1:12">
      <c r="C733" s="9"/>
      <c r="D733" s="9"/>
      <c r="E733" s="10"/>
      <c r="F733" s="11"/>
      <c r="G733" s="11"/>
      <c r="H733" s="19"/>
      <c r="I733" s="19"/>
      <c r="J733" s="19"/>
      <c r="K733" s="19"/>
      <c r="L733" s="19"/>
    </row>
    <row r="734" spans="1:12">
      <c r="C734" s="9"/>
      <c r="D734" s="9"/>
      <c r="E734" s="10"/>
      <c r="F734" s="11"/>
      <c r="G734" s="11"/>
      <c r="H734" s="19"/>
      <c r="I734" s="19"/>
      <c r="J734" s="19"/>
      <c r="K734" s="19"/>
      <c r="L734" s="19"/>
    </row>
    <row r="735" spans="1:12">
      <c r="C735" s="9"/>
      <c r="D735" s="9"/>
      <c r="E735" s="10"/>
      <c r="F735" s="11"/>
      <c r="G735" s="11"/>
      <c r="H735" s="19"/>
      <c r="I735" s="19"/>
      <c r="J735" s="19"/>
      <c r="K735" s="19"/>
      <c r="L735" s="19"/>
    </row>
    <row r="736" spans="1:12">
      <c r="C736" s="9"/>
      <c r="D736" s="9"/>
      <c r="E736" s="10"/>
      <c r="F736" s="11"/>
      <c r="G736" s="11"/>
      <c r="H736" s="21"/>
      <c r="I736" s="21"/>
      <c r="J736" s="21"/>
      <c r="K736" s="21"/>
      <c r="L736" s="21"/>
    </row>
    <row r="737" spans="1:12">
      <c r="B737" s="12"/>
      <c r="C737" s="13"/>
      <c r="D737" s="13"/>
      <c r="E737" s="14"/>
      <c r="F737" s="15"/>
      <c r="G737" s="15"/>
      <c r="H737" s="21"/>
      <c r="I737" s="21"/>
      <c r="J737" s="21"/>
      <c r="K737" s="21"/>
      <c r="L737" s="21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25047C-557F-40A2-9A93-85214A47FBF5}">
  <ds:schemaRefs/>
</ds:datastoreItem>
</file>

<file path=customXml/itemProps2.xml><?xml version="1.0" encoding="utf-8"?>
<ds:datastoreItem xmlns:ds="http://schemas.openxmlformats.org/officeDocument/2006/customXml" ds:itemID="{02A86F4D-4486-41D7-8C0F-99E82E5A43DC}">
  <ds:schemaRefs/>
</ds:datastoreItem>
</file>

<file path=customXml/itemProps3.xml><?xml version="1.0" encoding="utf-8"?>
<ds:datastoreItem xmlns:ds="http://schemas.openxmlformats.org/officeDocument/2006/customXml" ds:itemID="{9D7CBD4D-35C0-4BCA-BDAA-53D46B5DA4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Water Balance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2026-02-20T11:54:34Z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CABAED940BC945CAB4F9F27CEC18456C_13</vt:lpwstr>
  </property>
  <property fmtid="{D5CDD505-2E9C-101B-9397-08002B2CF9AE}" pid="4" name="KSOProductBuildVer">
    <vt:lpwstr>1033-12.2.0.23196</vt:lpwstr>
  </property>
</Properties>
</file>