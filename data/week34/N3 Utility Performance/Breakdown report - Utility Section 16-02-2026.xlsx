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gregory_karsten_assmang_co_za1/Documents/Senior Production Engineer (Acting - January 2025)/Weekly Reports/Week 34/N3 Utility Performance/"/>
    </mc:Choice>
  </mc:AlternateContent>
  <xr:revisionPtr revIDLastSave="0" documentId="8_{F91AC2C4-8B18-4003-9B2B-41FE0E9E89EC}" xr6:coauthVersionLast="47" xr6:coauthVersionMax="47" xr10:uidLastSave="{00000000-0000-0000-0000-000000000000}"/>
  <bookViews>
    <workbookView xWindow="-120" yWindow="-120" windowWidth="29040" windowHeight="15720" xr2:uid="{31E503D3-1BEF-44F5-B73D-E2A4E1F95FF2}"/>
  </bookViews>
  <sheets>
    <sheet name="UGToyota &amp; Fermel 16 Feb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K16" i="1" s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<sst xmlns="http://schemas.openxmlformats.org/spreadsheetml/2006/main" count="253" uniqueCount="150">
  <si>
    <t>16/02/2026 DAY SHIFT REPORT</t>
  </si>
  <si>
    <t>No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</si>
  <si>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</si>
  <si>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</si>
  <si>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</si>
  <si>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</si>
  <si>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</si>
  <si>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Total</t>
  </si>
  <si>
    <t>Breakdown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</si>
  <si>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</si>
  <si>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</si>
  <si>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</si>
  <si>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</si>
  <si>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</si>
  <si>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</si>
  <si>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</si>
  <si>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</si>
  <si>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</si>
  <si>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</si>
  <si>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</si>
  <si>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</si>
  <si>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</si>
  <si>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</si>
  <si>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</si>
  <si>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</si>
  <si>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BEV</t>
  </si>
  <si>
    <t>LD0375</t>
  </si>
  <si>
    <t>Placer dumper</t>
  </si>
  <si>
    <t>Training Center</t>
  </si>
  <si>
    <t>LD0401</t>
  </si>
  <si>
    <t>Maverick king Cab c/w Crane</t>
  </si>
  <si>
    <t>Boilermaker</t>
  </si>
  <si>
    <t>LD0405</t>
  </si>
  <si>
    <t xml:space="preserve">Not Available </t>
  </si>
  <si>
    <t xml:space="preserve">Engine commision( No comminication between engine and Machine) </t>
  </si>
  <si>
    <t>No solution from Fermel(Deutz EMR4 upgrade to EMR5)</t>
  </si>
  <si>
    <t>Maverick Single cab Jam Pot</t>
  </si>
  <si>
    <t xml:space="preserve">Itireleng </t>
  </si>
  <si>
    <t>LD0409</t>
  </si>
  <si>
    <t>Bird Machine</t>
  </si>
  <si>
    <t xml:space="preserve">Hyd Fitter </t>
  </si>
  <si>
    <t>LD0413</t>
  </si>
  <si>
    <t>Bob Cat</t>
  </si>
  <si>
    <t>Instrumentation</t>
  </si>
  <si>
    <t>LD0421</t>
  </si>
  <si>
    <t xml:space="preserve">Maverick King Cab NO Crane      </t>
  </si>
  <si>
    <t xml:space="preserve">Geology </t>
  </si>
  <si>
    <t>LD0422</t>
  </si>
  <si>
    <t xml:space="preserve">ROROs </t>
  </si>
  <si>
    <t>Electricians</t>
  </si>
  <si>
    <t>LD0445</t>
  </si>
  <si>
    <t xml:space="preserve">Maverick tropper    </t>
  </si>
  <si>
    <t>LD0452</t>
  </si>
  <si>
    <t>TOTAL</t>
  </si>
  <si>
    <t>LD0512</t>
  </si>
  <si>
    <t xml:space="preserve">Main West </t>
  </si>
  <si>
    <t>LD0520</t>
  </si>
  <si>
    <t>Front axle - (SOS - EOS)</t>
  </si>
  <si>
    <t xml:space="preserve">Waiting for parts </t>
  </si>
  <si>
    <t>LD0555</t>
  </si>
  <si>
    <t>NeroView is Off - (13:57 - 14:38)</t>
  </si>
  <si>
    <t xml:space="preserve">Traimming </t>
  </si>
  <si>
    <t>LD0556</t>
  </si>
  <si>
    <t>Drill Shop</t>
  </si>
  <si>
    <t>LD0568</t>
  </si>
  <si>
    <t>LD0569</t>
  </si>
  <si>
    <t>Center portion - (SOS - EOS)</t>
  </si>
  <si>
    <t>Mechanics</t>
  </si>
  <si>
    <t>LD0570</t>
  </si>
  <si>
    <t xml:space="preserve">X Cut </t>
  </si>
  <si>
    <t>LD0571</t>
  </si>
  <si>
    <t xml:space="preserve">Central </t>
  </si>
  <si>
    <t>LD0572</t>
  </si>
  <si>
    <t>Not Starting, Emergency brake knob broken off, Ball joint - (SOS - EOS)</t>
  </si>
  <si>
    <t>Utility TMM</t>
  </si>
  <si>
    <t>LD0573</t>
  </si>
  <si>
    <t xml:space="preserve">Construction </t>
  </si>
  <si>
    <t>LD0574</t>
  </si>
  <si>
    <t>Not accelerating / Main switch faulty - (SOS - 14:38)</t>
  </si>
  <si>
    <t xml:space="preserve">Security </t>
  </si>
  <si>
    <t>LD0595</t>
  </si>
  <si>
    <t>Rock Engneering</t>
  </si>
  <si>
    <t>LD0604</t>
  </si>
  <si>
    <t>LD0606</t>
  </si>
  <si>
    <t>LD0607</t>
  </si>
  <si>
    <t>LD0608</t>
  </si>
  <si>
    <t>LD0609</t>
  </si>
  <si>
    <t>LD0610</t>
  </si>
  <si>
    <t>Hooter - (12:06 - 12:41)</t>
  </si>
  <si>
    <t>LD0611</t>
  </si>
  <si>
    <t>Starting - (08:26 - 10:48)</t>
  </si>
  <si>
    <t>LD0612</t>
  </si>
  <si>
    <t>LD0613</t>
  </si>
  <si>
    <t>LD0614</t>
  </si>
  <si>
    <t>LD0615</t>
  </si>
  <si>
    <t>LD0620</t>
  </si>
  <si>
    <t>Strata (Surface decline &amp; No acces to the gat, its locked ) (Strata techcian refused to go with - (SOS - EOS)</t>
  </si>
  <si>
    <t>Sim 2</t>
  </si>
  <si>
    <t>LD0622</t>
  </si>
  <si>
    <t>LD0624</t>
  </si>
  <si>
    <t>LD0625</t>
  </si>
  <si>
    <t>LD0626</t>
  </si>
  <si>
    <t>No Acceleration - (14:03 - 14:38)</t>
  </si>
  <si>
    <t>SWD</t>
  </si>
  <si>
    <t>LD0627</t>
  </si>
  <si>
    <t>Not Starting - (08:31 - 11:22)</t>
  </si>
  <si>
    <t xml:space="preserve">Manager </t>
  </si>
  <si>
    <t>LD0628</t>
  </si>
  <si>
    <t>LD0635</t>
  </si>
  <si>
    <t>UV0071</t>
  </si>
  <si>
    <t xml:space="preserve">Sampling </t>
  </si>
  <si>
    <t>UV0074</t>
  </si>
  <si>
    <t>UV0075</t>
  </si>
  <si>
    <t>Logistics</t>
  </si>
  <si>
    <t>UV0078</t>
  </si>
  <si>
    <t>Front propshaft -  (SOS - EOS)</t>
  </si>
  <si>
    <t>UV0079</t>
  </si>
  <si>
    <t>UV0081</t>
  </si>
  <si>
    <t>UV0082</t>
  </si>
  <si>
    <t>UV0086</t>
  </si>
  <si>
    <t>UV0088</t>
  </si>
  <si>
    <t>UV0091</t>
  </si>
  <si>
    <t>UV0094</t>
  </si>
  <si>
    <t>Not Starting - (09:06 - 12:18)</t>
  </si>
  <si>
    <t xml:space="preserve">Survey </t>
  </si>
  <si>
    <t>UV0100</t>
  </si>
  <si>
    <t>UV0101</t>
  </si>
  <si>
    <t>Sanitec</t>
  </si>
  <si>
    <t>UV0103</t>
  </si>
  <si>
    <t>UV0116</t>
  </si>
  <si>
    <t>Not Starting - (SOS - 13:56)</t>
  </si>
  <si>
    <t>UV0045</t>
  </si>
  <si>
    <t xml:space="preserve">Mining </t>
  </si>
  <si>
    <t>LD0646</t>
  </si>
  <si>
    <t>LD0643</t>
  </si>
  <si>
    <t>LD0644</t>
  </si>
  <si>
    <t>LD0645</t>
  </si>
  <si>
    <t>LD0481</t>
  </si>
  <si>
    <t xml:space="preserve">Scrapped / operational </t>
  </si>
  <si>
    <t xml:space="preserve">LABOUR </t>
  </si>
  <si>
    <t xml:space="preserve">Chargehand </t>
  </si>
  <si>
    <t>1/1</t>
  </si>
  <si>
    <t xml:space="preserve">Mech </t>
  </si>
  <si>
    <t>5/8</t>
  </si>
  <si>
    <t xml:space="preserve"> X 1 annual leave /</t>
  </si>
  <si>
    <t xml:space="preserve">Auto </t>
  </si>
  <si>
    <t>1/4</t>
  </si>
  <si>
    <t>x1 on sick leave untill April /x1 at training center as from last year /X1 FR</t>
  </si>
  <si>
    <t>Semi skilled</t>
  </si>
  <si>
    <t>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</si>
</sst>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2" tint="-0.89999084444715716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 applyAlignment="1">
      <alignment horizontal="center"/>
    </xf>
    <xf numFmtId="49" fontId="4" fillId="0" borderId="0" xfId="0" applyNumberFormat="1" applyFont="1"/>
    <xf numFmtId="0" fontId="5" fillId="0" borderId="1" xfId="0" applyFont="1" applyBorder="1" applyAlignment="1" applyProtection="1">
      <alignment horizontal="center" vertical="center" wrapText="1" readingOrder="1"/>
      <protection locked="0"/>
    </xf>
    <xf numFmtId="0" fontId="0" fillId="2" borderId="2" xfId="0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8" xfId="0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/>
    <xf numFmtId="0" fontId="0" fillId="4" borderId="12" xfId="0" applyFill="1" applyBorder="1"/>
    <xf numFmtId="0" fontId="0" fillId="4" borderId="12" xfId="0" applyFill="1" applyBorder="1" applyAlignment="1">
      <alignment horizontal="center"/>
    </xf>
    <xf numFmtId="9" fontId="0" fillId="4" borderId="16" xfId="1" applyFont="1" applyFill="1" applyBorder="1" applyAlignment="1">
      <alignment horizontal="center"/>
    </xf>
    <xf numFmtId="0" fontId="0" fillId="0" borderId="17" xfId="0" applyBorder="1"/>
    <xf numFmtId="0" fontId="3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1" fontId="0" fillId="3" borderId="20" xfId="0" applyNumberFormat="1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/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9" fontId="0" fillId="4" borderId="23" xfId="1" applyFont="1" applyFill="1" applyBorder="1" applyAlignment="1">
      <alignment horizontal="center"/>
    </xf>
    <xf numFmtId="0" fontId="0" fillId="5" borderId="24" xfId="0" applyFill="1" applyBorder="1"/>
    <xf numFmtId="0" fontId="0" fillId="5" borderId="24" xfId="0" applyFill="1" applyBorder="1" applyAlignment="1">
      <alignment horizontal="center"/>
    </xf>
    <xf numFmtId="9" fontId="0" fillId="5" borderId="23" xfId="1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6" borderId="24" xfId="0" applyFill="1" applyBorder="1"/>
    <xf numFmtId="0" fontId="0" fillId="6" borderId="24" xfId="0" applyFill="1" applyBorder="1" applyAlignment="1">
      <alignment horizontal="center"/>
    </xf>
    <xf numFmtId="9" fontId="0" fillId="6" borderId="23" xfId="1" applyFont="1" applyFill="1" applyBorder="1" applyAlignment="1">
      <alignment horizontal="center"/>
    </xf>
    <xf numFmtId="0" fontId="0" fillId="7" borderId="18" xfId="0" applyFill="1" applyBorder="1"/>
    <xf numFmtId="0" fontId="0" fillId="7" borderId="18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9" fontId="0" fillId="7" borderId="23" xfId="1" applyFont="1" applyFill="1" applyBorder="1" applyAlignment="1">
      <alignment horizontal="center"/>
    </xf>
    <xf numFmtId="1" fontId="0" fillId="8" borderId="20" xfId="0" applyNumberFormat="1" applyFill="1" applyBorder="1" applyAlignment="1">
      <alignment horizontal="center"/>
    </xf>
    <xf numFmtId="0" fontId="0" fillId="9" borderId="24" xfId="0" applyFill="1" applyBorder="1"/>
    <xf numFmtId="0" fontId="0" fillId="9" borderId="24" xfId="0" applyFill="1" applyBorder="1" applyAlignment="1">
      <alignment horizontal="center"/>
    </xf>
    <xf numFmtId="9" fontId="0" fillId="9" borderId="23" xfId="1" applyFont="1" applyFill="1" applyBorder="1" applyAlignment="1">
      <alignment horizontal="center"/>
    </xf>
    <xf numFmtId="0" fontId="0" fillId="10" borderId="24" xfId="0" applyFill="1" applyBorder="1"/>
    <xf numFmtId="0" fontId="2" fillId="10" borderId="24" xfId="0" applyFont="1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9" fontId="0" fillId="10" borderId="26" xfId="1" applyFont="1" applyFill="1" applyBorder="1" applyAlignment="1">
      <alignment horizontal="center"/>
    </xf>
    <xf numFmtId="0" fontId="3" fillId="0" borderId="24" xfId="0" quotePrefix="1" applyFont="1" applyBorder="1" applyAlignment="1">
      <alignment horizontal="center"/>
    </xf>
    <xf numFmtId="49" fontId="0" fillId="11" borderId="24" xfId="0" applyNumberFormat="1" applyFill="1" applyBorder="1"/>
    <xf numFmtId="0" fontId="0" fillId="11" borderId="24" xfId="0" applyFill="1" applyBorder="1" applyAlignment="1">
      <alignment horizontal="center"/>
    </xf>
    <xf numFmtId="9" fontId="0" fillId="11" borderId="27" xfId="1" applyFont="1" applyFill="1" applyBorder="1" applyAlignment="1">
      <alignment horizontal="center"/>
    </xf>
    <xf numFmtId="0" fontId="0" fillId="12" borderId="25" xfId="0" applyFill="1" applyBorder="1"/>
    <xf numFmtId="0" fontId="2" fillId="12" borderId="25" xfId="0" applyFont="1" applyFill="1" applyBorder="1" applyAlignment="1">
      <alignment horizontal="center"/>
    </xf>
    <xf numFmtId="9" fontId="2" fillId="12" borderId="26" xfId="1" applyFont="1" applyFill="1" applyBorder="1" applyAlignment="1">
      <alignment horizontal="center"/>
    </xf>
    <xf numFmtId="0" fontId="0" fillId="13" borderId="0" xfId="0" applyFill="1"/>
    <xf numFmtId="0" fontId="2" fillId="12" borderId="8" xfId="0" applyFont="1" applyFill="1" applyBorder="1"/>
    <xf numFmtId="0" fontId="2" fillId="12" borderId="8" xfId="0" applyFont="1" applyFill="1" applyBorder="1" applyAlignment="1">
      <alignment horizontal="center"/>
    </xf>
    <xf numFmtId="9" fontId="2" fillId="12" borderId="28" xfId="1" applyFont="1" applyFill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3" fillId="0" borderId="19" xfId="0" quotePrefix="1" applyFont="1" applyBorder="1" applyAlignment="1">
      <alignment horizontal="center"/>
    </xf>
    <xf numFmtId="0" fontId="0" fillId="0" borderId="29" xfId="0" applyBorder="1"/>
    <xf numFmtId="0" fontId="3" fillId="0" borderId="30" xfId="0" quotePrefix="1" applyFont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33" xfId="0" applyNumberFormat="1" applyBorder="1"/>
    <xf numFmtId="0" fontId="3" fillId="0" borderId="18" xfId="0" quotePrefix="1" applyFont="1" applyBorder="1" applyAlignment="1">
      <alignment horizontal="center"/>
    </xf>
    <xf numFmtId="0" fontId="3" fillId="3" borderId="21" xfId="0" quotePrefix="1" applyFont="1" applyFill="1" applyBorder="1" applyAlignment="1">
      <alignment horizontal="center"/>
    </xf>
    <xf numFmtId="0" fontId="0" fillId="0" borderId="24" xfId="0" applyBorder="1"/>
    <xf numFmtId="0" fontId="3" fillId="0" borderId="34" xfId="0" quotePrefix="1" applyFont="1" applyBorder="1" applyAlignment="1">
      <alignment horizontal="center"/>
    </xf>
    <xf numFmtId="1" fontId="0" fillId="0" borderId="27" xfId="0" applyNumberFormat="1" applyBorder="1"/>
    <xf numFmtId="0" fontId="0" fillId="0" borderId="35" xfId="0" applyBorder="1"/>
    <xf numFmtId="0" fontId="3" fillId="0" borderId="36" xfId="0" applyFont="1" applyBorder="1" applyAlignment="1">
      <alignment horizontal="center"/>
    </xf>
    <xf numFmtId="0" fontId="3" fillId="0" borderId="37" xfId="0" quotePrefix="1" applyFont="1" applyBorder="1" applyAlignment="1">
      <alignment horizontal="center"/>
    </xf>
    <xf numFmtId="0" fontId="3" fillId="3" borderId="38" xfId="0" quotePrefix="1" applyFont="1" applyFill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39" xfId="0" applyNumberFormat="1" applyBorder="1"/>
    <xf numFmtId="0" fontId="3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6" fillId="0" borderId="40" xfId="0" applyFont="1" applyBorder="1" applyAlignment="1">
      <alignment horizontal="center" vertical="center" readingOrder="1"/>
    </xf>
    <xf numFmtId="0" fontId="6" fillId="0" borderId="19" xfId="0" applyFont="1" applyBorder="1" applyAlignment="1">
      <alignment horizontal="center" vertical="center" readingOrder="1"/>
    </xf>
    <xf numFmtId="0" fontId="7" fillId="0" borderId="0" xfId="0" applyFont="1" applyAlignment="1">
      <alignment horizontal="center" vertical="center"/>
    </xf>
    <xf numFmtId="0" fontId="7" fillId="13" borderId="40" xfId="0" applyFont="1" applyFill="1" applyBorder="1" applyAlignment="1">
      <alignment horizontal="center" vertical="center" readingOrder="1"/>
    </xf>
    <xf numFmtId="0" fontId="7" fillId="13" borderId="21" xfId="0" applyFont="1" applyFill="1" applyBorder="1" applyAlignment="1">
      <alignment horizontal="center" vertical="center"/>
    </xf>
    <xf numFmtId="0" fontId="6" fillId="13" borderId="19" xfId="0" applyFont="1" applyFill="1" applyBorder="1" applyAlignment="1">
      <alignment horizontal="center" vertical="center"/>
    </xf>
    <xf numFmtId="0" fontId="7" fillId="14" borderId="40" xfId="0" applyFont="1" applyFill="1" applyBorder="1" applyAlignment="1">
      <alignment horizontal="center" vertical="center" readingOrder="1"/>
    </xf>
    <xf numFmtId="49" fontId="7" fillId="14" borderId="21" xfId="0" applyNumberFormat="1" applyFont="1" applyFill="1" applyBorder="1" applyAlignment="1">
      <alignment horizontal="center" vertical="center"/>
    </xf>
    <xf numFmtId="49" fontId="7" fillId="14" borderId="40" xfId="0" applyNumberFormat="1" applyFont="1" applyFill="1" applyBorder="1" applyAlignment="1">
      <alignment horizontal="center" vertical="center" readingOrder="1"/>
    </xf>
    <xf numFmtId="0" fontId="7" fillId="0" borderId="21" xfId="0" applyFont="1" applyBorder="1" applyAlignment="1">
      <alignment horizontal="center" vertical="center"/>
    </xf>
    <xf numFmtId="0" fontId="7" fillId="14" borderId="21" xfId="0" applyFont="1" applyFill="1" applyBorder="1" applyAlignment="1">
      <alignment horizontal="center" vertical="center" readingOrder="1"/>
    </xf>
    <xf numFmtId="49" fontId="7" fillId="14" borderId="21" xfId="0" applyNumberFormat="1" applyFont="1" applyFill="1" applyBorder="1" applyAlignment="1">
      <alignment horizontal="center" vertical="center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446E-1937-4FBD-AE72-6DE3EC416871}">
  <sheetPr>
    <tabColor rgb="FF00B0F0"/>
  </sheetPr>
  <dimension ref="A1:K76"/>
  <sheetViews>
    <sheetView tabSelected="1" workbookViewId="0">
      <selection activeCell="K22" sqref="K22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1"/>
      <c r="C1" s="2"/>
      <c r="D1" s="1"/>
      <c r="E1" s="3" t="s">
        <v>0</v>
      </c>
    </row>
    <row r="2" spans="1:11" ht="15.75" thickBot="1" x14ac:dyDescent="0.3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H2" s="10"/>
      <c r="I2" s="11" t="s">
        <v>7</v>
      </c>
      <c r="J2" s="12" t="s">
        <v>8</v>
      </c>
      <c r="K2" s="13" t="s">
        <v>9</v>
      </c>
    </row>
    <row r="3" spans="1:11" x14ac:dyDescent="0.25">
      <c r="A3" s="14">
        <v>1</v>
      </c>
      <c r="B3" s="15" t="s">
        <v>10</v>
      </c>
      <c r="C3" s="16" t="s">
        <v>11</v>
      </c>
      <c r="D3" s="17" t="s">
        <v>12</v>
      </c>
      <c r="E3" s="18"/>
      <c r="F3" s="19"/>
      <c r="H3" s="20" t="s">
        <v>13</v>
      </c>
      <c r="I3" s="21">
        <v>9</v>
      </c>
      <c r="J3" s="21">
        <v>2</v>
      </c>
      <c r="K3" s="22">
        <f t="shared" ref="K3:K13" si="0">((I3-J3)/I3)</f>
        <v>0.77777777777777779</v>
      </c>
    </row>
    <row r="4" spans="1:11" x14ac:dyDescent="0.25">
      <c r="A4" s="23">
        <v>2</v>
      </c>
      <c r="B4" s="24" t="s">
        <v>10</v>
      </c>
      <c r="C4" s="25" t="s">
        <v>14</v>
      </c>
      <c r="D4" s="26" t="s">
        <v>12</v>
      </c>
      <c r="E4" s="27"/>
      <c r="F4" s="28"/>
      <c r="H4" s="29" t="s">
        <v>15</v>
      </c>
      <c r="I4" s="30">
        <v>33</v>
      </c>
      <c r="J4" s="30">
        <v>4</v>
      </c>
      <c r="K4" s="31">
        <f t="shared" si="0"/>
        <v>0.87878787878787878</v>
      </c>
    </row>
    <row r="5" spans="1:11" x14ac:dyDescent="0.25">
      <c r="A5" s="23">
        <v>3</v>
      </c>
      <c r="B5" s="24" t="s">
        <v>16</v>
      </c>
      <c r="C5" s="25" t="s">
        <v>17</v>
      </c>
      <c r="D5" s="26" t="s">
        <v>12</v>
      </c>
      <c r="E5" s="27"/>
      <c r="F5" s="28"/>
      <c r="H5" s="29" t="s">
        <v>18</v>
      </c>
      <c r="I5" s="30">
        <v>2</v>
      </c>
      <c r="J5" s="30">
        <v>0</v>
      </c>
      <c r="K5" s="31">
        <f t="shared" si="0"/>
        <v>1</v>
      </c>
    </row>
    <row r="6" spans="1:11" x14ac:dyDescent="0.25">
      <c r="A6" s="23">
        <v>4</v>
      </c>
      <c r="B6" s="24" t="s">
        <v>19</v>
      </c>
      <c r="C6" s="25" t="s">
        <v>20</v>
      </c>
      <c r="D6" s="26" t="s">
        <v>12</v>
      </c>
      <c r="E6" s="27"/>
      <c r="F6" s="28"/>
      <c r="H6" s="29" t="s">
        <v>21</v>
      </c>
      <c r="I6" s="30">
        <v>2</v>
      </c>
      <c r="J6" s="30">
        <v>0</v>
      </c>
      <c r="K6" s="31">
        <f>((I6-J6)/I6)</f>
        <v>1</v>
      </c>
    </row>
    <row r="7" spans="1:11" x14ac:dyDescent="0.25">
      <c r="A7" s="23">
        <v>5</v>
      </c>
      <c r="B7" s="24" t="s">
        <v>22</v>
      </c>
      <c r="C7" s="25" t="s">
        <v>23</v>
      </c>
      <c r="D7" s="26" t="s">
        <v>12</v>
      </c>
      <c r="E7" s="27"/>
      <c r="F7" s="28"/>
      <c r="H7" s="32" t="s">
        <v>24</v>
      </c>
      <c r="I7" s="33">
        <v>4</v>
      </c>
      <c r="J7" s="33">
        <v>0</v>
      </c>
      <c r="K7" s="34">
        <f t="shared" si="0"/>
        <v>1</v>
      </c>
    </row>
    <row r="8" spans="1:11" x14ac:dyDescent="0.25">
      <c r="A8" s="23">
        <v>6</v>
      </c>
      <c r="B8" s="35" t="s">
        <v>25</v>
      </c>
      <c r="C8" s="36" t="s">
        <v>26</v>
      </c>
      <c r="D8" s="26" t="s">
        <v>12</v>
      </c>
      <c r="E8" s="37"/>
      <c r="F8" s="38"/>
      <c r="H8" s="39" t="s">
        <v>27</v>
      </c>
      <c r="I8" s="40">
        <v>1</v>
      </c>
      <c r="J8" s="40">
        <v>0</v>
      </c>
      <c r="K8" s="41">
        <f t="shared" si="0"/>
        <v>1</v>
      </c>
    </row>
    <row r="9" spans="1:11" x14ac:dyDescent="0.25">
      <c r="A9" s="23">
        <v>7</v>
      </c>
      <c r="B9" s="35" t="s">
        <v>28</v>
      </c>
      <c r="C9" s="36" t="s">
        <v>29</v>
      </c>
      <c r="D9" s="26" t="s">
        <v>12</v>
      </c>
      <c r="E9" s="37"/>
      <c r="F9" s="38"/>
      <c r="H9" s="42" t="s">
        <v>30</v>
      </c>
      <c r="I9" s="43">
        <v>3</v>
      </c>
      <c r="J9" s="44">
        <v>0</v>
      </c>
      <c r="K9" s="45">
        <f t="shared" si="0"/>
        <v>1</v>
      </c>
    </row>
    <row r="10" spans="1:11" x14ac:dyDescent="0.25">
      <c r="A10" s="23">
        <v>8</v>
      </c>
      <c r="B10" s="35" t="s">
        <v>31</v>
      </c>
      <c r="C10" s="36" t="s">
        <v>32</v>
      </c>
      <c r="D10" s="46" t="s">
        <v>33</v>
      </c>
      <c r="E10" s="27" t="s">
        <v>34</v>
      </c>
      <c r="F10" s="38" t="s">
        <v>35</v>
      </c>
      <c r="H10" s="47" t="s">
        <v>36</v>
      </c>
      <c r="I10" s="48">
        <v>1</v>
      </c>
      <c r="J10" s="48">
        <v>0</v>
      </c>
      <c r="K10" s="49">
        <f t="shared" si="0"/>
        <v>1</v>
      </c>
    </row>
    <row r="11" spans="1:11" x14ac:dyDescent="0.25">
      <c r="A11" s="23">
        <v>9</v>
      </c>
      <c r="B11" s="35" t="s">
        <v>37</v>
      </c>
      <c r="C11" s="36" t="s">
        <v>38</v>
      </c>
      <c r="D11" s="26" t="s">
        <v>12</v>
      </c>
      <c r="E11" s="27"/>
      <c r="F11" s="38"/>
      <c r="H11" s="50" t="s">
        <v>39</v>
      </c>
      <c r="I11" s="51">
        <v>1</v>
      </c>
      <c r="J11" s="52">
        <v>0</v>
      </c>
      <c r="K11" s="53">
        <f t="shared" si="0"/>
        <v>1</v>
      </c>
    </row>
    <row r="12" spans="1:11" x14ac:dyDescent="0.25">
      <c r="A12" s="23">
        <v>10</v>
      </c>
      <c r="B12" s="54" t="s">
        <v>40</v>
      </c>
      <c r="C12" s="36" t="s">
        <v>41</v>
      </c>
      <c r="D12" s="26" t="s">
        <v>12</v>
      </c>
      <c r="E12" s="27"/>
      <c r="F12" s="28"/>
      <c r="H12" s="50" t="s">
        <v>42</v>
      </c>
      <c r="I12" s="51">
        <v>2</v>
      </c>
      <c r="J12" s="52">
        <v>0</v>
      </c>
      <c r="K12" s="53">
        <f t="shared" si="0"/>
        <v>1</v>
      </c>
    </row>
    <row r="13" spans="1:11" x14ac:dyDescent="0.25">
      <c r="A13" s="23">
        <v>11</v>
      </c>
      <c r="B13" s="35" t="s">
        <v>43</v>
      </c>
      <c r="C13" s="36" t="s">
        <v>44</v>
      </c>
      <c r="D13" s="26" t="s">
        <v>12</v>
      </c>
      <c r="E13" s="27"/>
      <c r="F13" s="28"/>
      <c r="H13" s="55" t="s">
        <v>45</v>
      </c>
      <c r="I13" s="56">
        <v>2</v>
      </c>
      <c r="J13" s="56">
        <v>0</v>
      </c>
      <c r="K13" s="57">
        <f t="shared" si="0"/>
        <v>1</v>
      </c>
    </row>
    <row r="14" spans="1:11" x14ac:dyDescent="0.25">
      <c r="A14" s="23">
        <v>12</v>
      </c>
      <c r="B14" s="35" t="s">
        <v>46</v>
      </c>
      <c r="C14" s="36" t="s">
        <v>47</v>
      </c>
      <c r="D14" s="26" t="s">
        <v>12</v>
      </c>
      <c r="E14" s="27"/>
      <c r="F14" s="28"/>
      <c r="H14" s="58" t="s">
        <v>48</v>
      </c>
      <c r="I14" s="59">
        <v>5</v>
      </c>
      <c r="J14" s="59">
        <v>1</v>
      </c>
      <c r="K14" s="60">
        <f>((I14-J14)/I14)</f>
        <v>0.8</v>
      </c>
    </row>
    <row r="15" spans="1:11" ht="15.75" thickBot="1" x14ac:dyDescent="0.3">
      <c r="A15" s="23">
        <v>13</v>
      </c>
      <c r="B15" s="35" t="s">
        <v>49</v>
      </c>
      <c r="C15" s="36" t="s">
        <v>50</v>
      </c>
      <c r="D15" s="26" t="s">
        <v>12</v>
      </c>
      <c r="E15" s="27"/>
      <c r="F15" s="28"/>
      <c r="G15" s="61"/>
      <c r="H15" s="55" t="s">
        <v>51</v>
      </c>
      <c r="I15" s="56">
        <v>1</v>
      </c>
      <c r="J15" s="56">
        <v>0</v>
      </c>
      <c r="K15" s="57">
        <f t="shared" ref="K15" si="1">((I15-J15)/I15)</f>
        <v>1</v>
      </c>
    </row>
    <row r="16" spans="1:11" ht="15.75" thickBot="1" x14ac:dyDescent="0.3">
      <c r="A16" s="23">
        <v>14</v>
      </c>
      <c r="B16" s="24" t="s">
        <v>10</v>
      </c>
      <c r="C16" s="36" t="s">
        <v>52</v>
      </c>
      <c r="D16" s="26" t="s">
        <v>12</v>
      </c>
      <c r="E16" s="27"/>
      <c r="F16" s="28"/>
      <c r="H16" s="62" t="s">
        <v>53</v>
      </c>
      <c r="I16" s="63">
        <f>SUM(I3:I15)</f>
        <v>66</v>
      </c>
      <c r="J16" s="63">
        <f>SUM(J3:J15)</f>
        <v>7</v>
      </c>
      <c r="K16" s="64">
        <f>((I16-J16)/I16)</f>
        <v>0.89393939393939392</v>
      </c>
    </row>
    <row r="17" spans="1:6" x14ac:dyDescent="0.25">
      <c r="A17" s="23">
        <v>15</v>
      </c>
      <c r="B17" s="54" t="s">
        <v>40</v>
      </c>
      <c r="C17" s="36" t="s">
        <v>54</v>
      </c>
      <c r="D17" s="26" t="s">
        <v>12</v>
      </c>
      <c r="E17" s="27"/>
      <c r="F17" s="28"/>
    </row>
    <row r="18" spans="1:6" x14ac:dyDescent="0.25">
      <c r="A18" s="23">
        <v>16</v>
      </c>
      <c r="B18" s="35" t="s">
        <v>55</v>
      </c>
      <c r="C18" s="36" t="s">
        <v>56</v>
      </c>
      <c r="D18" s="46" t="s">
        <v>33</v>
      </c>
      <c r="E18" s="27" t="s">
        <v>57</v>
      </c>
      <c r="F18" s="28" t="s">
        <v>58</v>
      </c>
    </row>
    <row r="19" spans="1:6" x14ac:dyDescent="0.25">
      <c r="A19" s="23">
        <v>17</v>
      </c>
      <c r="B19" s="54" t="s">
        <v>40</v>
      </c>
      <c r="C19" s="36" t="s">
        <v>59</v>
      </c>
      <c r="D19" s="26" t="s">
        <v>12</v>
      </c>
      <c r="E19" s="27" t="s">
        <v>60</v>
      </c>
      <c r="F19" s="28"/>
    </row>
    <row r="20" spans="1:6" x14ac:dyDescent="0.25">
      <c r="A20" s="23">
        <v>18</v>
      </c>
      <c r="B20" s="35" t="s">
        <v>61</v>
      </c>
      <c r="C20" s="36" t="s">
        <v>62</v>
      </c>
      <c r="D20" s="26" t="s">
        <v>12</v>
      </c>
      <c r="E20" s="27"/>
      <c r="F20" s="28"/>
    </row>
    <row r="21" spans="1:6" x14ac:dyDescent="0.25">
      <c r="A21" s="23">
        <v>19</v>
      </c>
      <c r="B21" s="35" t="s">
        <v>63</v>
      </c>
      <c r="C21" s="36" t="s">
        <v>64</v>
      </c>
      <c r="D21" s="26" t="s">
        <v>12</v>
      </c>
      <c r="E21" s="27"/>
      <c r="F21" s="28"/>
    </row>
    <row r="22" spans="1:6" x14ac:dyDescent="0.25">
      <c r="A22" s="23">
        <v>20</v>
      </c>
      <c r="B22" s="35" t="s">
        <v>49</v>
      </c>
      <c r="C22" s="36" t="s">
        <v>65</v>
      </c>
      <c r="D22" s="46" t="s">
        <v>33</v>
      </c>
      <c r="E22" s="27" t="s">
        <v>66</v>
      </c>
      <c r="F22" s="28" t="s">
        <v>58</v>
      </c>
    </row>
    <row r="23" spans="1:6" x14ac:dyDescent="0.25">
      <c r="A23" s="23">
        <v>21</v>
      </c>
      <c r="B23" s="35" t="s">
        <v>67</v>
      </c>
      <c r="C23" s="36" t="s">
        <v>68</v>
      </c>
      <c r="D23" s="26" t="s">
        <v>12</v>
      </c>
      <c r="E23" s="27"/>
      <c r="F23" s="28"/>
    </row>
    <row r="24" spans="1:6" x14ac:dyDescent="0.25">
      <c r="A24" s="23">
        <v>22</v>
      </c>
      <c r="B24" s="35" t="s">
        <v>69</v>
      </c>
      <c r="C24" s="36" t="s">
        <v>70</v>
      </c>
      <c r="D24" s="26" t="s">
        <v>12</v>
      </c>
      <c r="E24" s="27"/>
      <c r="F24" s="28"/>
    </row>
    <row r="25" spans="1:6" x14ac:dyDescent="0.25">
      <c r="A25" s="23">
        <v>23</v>
      </c>
      <c r="B25" s="35" t="s">
        <v>71</v>
      </c>
      <c r="C25" s="36" t="s">
        <v>72</v>
      </c>
      <c r="D25" s="46" t="s">
        <v>33</v>
      </c>
      <c r="E25" s="27" t="s">
        <v>73</v>
      </c>
      <c r="F25" s="28" t="s">
        <v>58</v>
      </c>
    </row>
    <row r="26" spans="1:6" x14ac:dyDescent="0.25">
      <c r="A26" s="23">
        <v>24</v>
      </c>
      <c r="B26" s="35" t="s">
        <v>74</v>
      </c>
      <c r="C26" s="36" t="s">
        <v>75</v>
      </c>
      <c r="D26" s="26" t="s">
        <v>12</v>
      </c>
      <c r="E26" s="27"/>
      <c r="F26" s="28"/>
    </row>
    <row r="27" spans="1:6" x14ac:dyDescent="0.25">
      <c r="A27" s="23">
        <v>25</v>
      </c>
      <c r="B27" s="35" t="s">
        <v>76</v>
      </c>
      <c r="C27" s="36" t="s">
        <v>77</v>
      </c>
      <c r="D27" s="26" t="s">
        <v>12</v>
      </c>
      <c r="E27" s="27" t="s">
        <v>78</v>
      </c>
      <c r="F27" s="28"/>
    </row>
    <row r="28" spans="1:6" x14ac:dyDescent="0.25">
      <c r="A28" s="23">
        <v>26</v>
      </c>
      <c r="B28" s="35" t="s">
        <v>79</v>
      </c>
      <c r="C28" s="36" t="s">
        <v>80</v>
      </c>
      <c r="D28" s="26" t="s">
        <v>12</v>
      </c>
      <c r="E28" s="27"/>
      <c r="F28" s="28"/>
    </row>
    <row r="29" spans="1:6" x14ac:dyDescent="0.25">
      <c r="A29" s="23">
        <v>27</v>
      </c>
      <c r="B29" s="35" t="s">
        <v>81</v>
      </c>
      <c r="C29" s="36" t="s">
        <v>82</v>
      </c>
      <c r="D29" s="26" t="s">
        <v>12</v>
      </c>
      <c r="E29" s="27"/>
      <c r="F29" s="28"/>
    </row>
    <row r="30" spans="1:6" x14ac:dyDescent="0.25">
      <c r="A30" s="23">
        <v>28</v>
      </c>
      <c r="B30" s="35" t="s">
        <v>76</v>
      </c>
      <c r="C30" s="36" t="s">
        <v>83</v>
      </c>
      <c r="D30" s="26" t="s">
        <v>12</v>
      </c>
      <c r="E30" s="27"/>
      <c r="F30" s="28"/>
    </row>
    <row r="31" spans="1:6" x14ac:dyDescent="0.25">
      <c r="A31" s="23">
        <v>29</v>
      </c>
      <c r="B31" s="35" t="s">
        <v>67</v>
      </c>
      <c r="C31" s="36" t="s">
        <v>84</v>
      </c>
      <c r="D31" s="26" t="s">
        <v>12</v>
      </c>
      <c r="E31" s="27"/>
      <c r="F31" s="28"/>
    </row>
    <row r="32" spans="1:6" x14ac:dyDescent="0.25">
      <c r="A32" s="23">
        <v>30</v>
      </c>
      <c r="B32" s="35" t="s">
        <v>61</v>
      </c>
      <c r="C32" s="36" t="s">
        <v>85</v>
      </c>
      <c r="D32" s="26" t="s">
        <v>12</v>
      </c>
      <c r="E32" s="27"/>
      <c r="F32" s="28"/>
    </row>
    <row r="33" spans="1:6" x14ac:dyDescent="0.25">
      <c r="A33" s="23">
        <v>31</v>
      </c>
      <c r="B33" s="54" t="s">
        <v>40</v>
      </c>
      <c r="C33" s="36" t="s">
        <v>86</v>
      </c>
      <c r="D33" s="26" t="s">
        <v>12</v>
      </c>
      <c r="E33" s="27"/>
      <c r="F33" s="28"/>
    </row>
    <row r="34" spans="1:6" x14ac:dyDescent="0.25">
      <c r="A34" s="23">
        <v>32</v>
      </c>
      <c r="B34" s="24" t="s">
        <v>10</v>
      </c>
      <c r="C34" s="36" t="s">
        <v>87</v>
      </c>
      <c r="D34" s="26" t="s">
        <v>12</v>
      </c>
      <c r="E34" s="27" t="s">
        <v>88</v>
      </c>
      <c r="F34" s="28"/>
    </row>
    <row r="35" spans="1:6" x14ac:dyDescent="0.25">
      <c r="A35" s="23">
        <v>33</v>
      </c>
      <c r="B35" s="35" t="s">
        <v>55</v>
      </c>
      <c r="C35" s="36" t="s">
        <v>89</v>
      </c>
      <c r="D35" s="26" t="s">
        <v>12</v>
      </c>
      <c r="E35" s="27" t="s">
        <v>90</v>
      </c>
      <c r="F35" s="28"/>
    </row>
    <row r="36" spans="1:6" x14ac:dyDescent="0.25">
      <c r="A36" s="23">
        <v>34</v>
      </c>
      <c r="B36" s="54" t="s">
        <v>40</v>
      </c>
      <c r="C36" s="36" t="s">
        <v>91</v>
      </c>
      <c r="D36" s="26" t="s">
        <v>12</v>
      </c>
      <c r="E36" s="27"/>
      <c r="F36" s="28"/>
    </row>
    <row r="37" spans="1:6" x14ac:dyDescent="0.25">
      <c r="A37" s="23">
        <v>35</v>
      </c>
      <c r="B37" s="35" t="s">
        <v>76</v>
      </c>
      <c r="C37" s="36" t="s">
        <v>92</v>
      </c>
      <c r="D37" s="26" t="s">
        <v>12</v>
      </c>
      <c r="E37" s="27"/>
      <c r="F37" s="38"/>
    </row>
    <row r="38" spans="1:6" x14ac:dyDescent="0.25">
      <c r="A38" s="23">
        <v>36</v>
      </c>
      <c r="B38" s="35" t="s">
        <v>67</v>
      </c>
      <c r="C38" s="36" t="s">
        <v>93</v>
      </c>
      <c r="D38" s="26" t="s">
        <v>12</v>
      </c>
      <c r="E38" s="27"/>
      <c r="F38" s="28"/>
    </row>
    <row r="39" spans="1:6" x14ac:dyDescent="0.25">
      <c r="A39" s="23">
        <v>37</v>
      </c>
      <c r="B39" s="35" t="s">
        <v>31</v>
      </c>
      <c r="C39" s="36" t="s">
        <v>94</v>
      </c>
      <c r="D39" s="26" t="s">
        <v>12</v>
      </c>
      <c r="E39" s="27"/>
      <c r="F39" s="28"/>
    </row>
    <row r="40" spans="1:6" x14ac:dyDescent="0.25">
      <c r="A40" s="23">
        <v>38</v>
      </c>
      <c r="B40" s="24" t="s">
        <v>10</v>
      </c>
      <c r="C40" s="36" t="s">
        <v>95</v>
      </c>
      <c r="D40" s="46" t="s">
        <v>33</v>
      </c>
      <c r="E40" s="27" t="s">
        <v>96</v>
      </c>
      <c r="F40" s="28"/>
    </row>
    <row r="41" spans="1:6" x14ac:dyDescent="0.25">
      <c r="A41" s="23">
        <v>39</v>
      </c>
      <c r="B41" s="24" t="s">
        <v>97</v>
      </c>
      <c r="C41" s="36" t="s">
        <v>98</v>
      </c>
      <c r="D41" s="26" t="s">
        <v>12</v>
      </c>
      <c r="E41" s="27"/>
      <c r="F41" s="28"/>
    </row>
    <row r="42" spans="1:6" x14ac:dyDescent="0.25">
      <c r="A42" s="23">
        <v>40</v>
      </c>
      <c r="B42" s="35" t="s">
        <v>28</v>
      </c>
      <c r="C42" s="36" t="s">
        <v>99</v>
      </c>
      <c r="D42" s="26" t="s">
        <v>12</v>
      </c>
      <c r="E42" s="27"/>
      <c r="F42" s="28"/>
    </row>
    <row r="43" spans="1:6" x14ac:dyDescent="0.25">
      <c r="A43" s="23">
        <v>41</v>
      </c>
      <c r="B43" s="35" t="s">
        <v>71</v>
      </c>
      <c r="C43" s="36" t="s">
        <v>100</v>
      </c>
      <c r="D43" s="26" t="s">
        <v>12</v>
      </c>
      <c r="E43" s="27"/>
      <c r="F43" s="28"/>
    </row>
    <row r="44" spans="1:6" x14ac:dyDescent="0.25">
      <c r="A44" s="23">
        <v>42</v>
      </c>
      <c r="B44" s="35" t="s">
        <v>49</v>
      </c>
      <c r="C44" s="36" t="s">
        <v>101</v>
      </c>
      <c r="D44" s="26" t="s">
        <v>12</v>
      </c>
      <c r="E44" s="27" t="s">
        <v>102</v>
      </c>
      <c r="F44" s="28"/>
    </row>
    <row r="45" spans="1:6" x14ac:dyDescent="0.25">
      <c r="A45" s="23">
        <v>43</v>
      </c>
      <c r="B45" s="35" t="s">
        <v>103</v>
      </c>
      <c r="C45" s="36" t="s">
        <v>104</v>
      </c>
      <c r="D45" s="26" t="s">
        <v>12</v>
      </c>
      <c r="E45" s="27" t="s">
        <v>105</v>
      </c>
      <c r="F45" s="28"/>
    </row>
    <row r="46" spans="1:6" x14ac:dyDescent="0.25">
      <c r="A46" s="23">
        <v>44</v>
      </c>
      <c r="B46" s="35" t="s">
        <v>106</v>
      </c>
      <c r="C46" s="36" t="s">
        <v>107</v>
      </c>
      <c r="D46" s="26" t="s">
        <v>12</v>
      </c>
      <c r="E46" s="27"/>
      <c r="F46" s="28"/>
    </row>
    <row r="47" spans="1:6" x14ac:dyDescent="0.25">
      <c r="A47" s="23">
        <v>45</v>
      </c>
      <c r="B47" s="35" t="s">
        <v>63</v>
      </c>
      <c r="C47" s="36" t="s">
        <v>108</v>
      </c>
      <c r="D47" s="26" t="s">
        <v>12</v>
      </c>
      <c r="E47" s="27"/>
      <c r="F47" s="28"/>
    </row>
    <row r="48" spans="1:6" x14ac:dyDescent="0.25">
      <c r="A48" s="23">
        <v>46</v>
      </c>
      <c r="B48" s="35" t="s">
        <v>31</v>
      </c>
      <c r="C48" s="36" t="s">
        <v>109</v>
      </c>
      <c r="D48" s="26" t="s">
        <v>12</v>
      </c>
      <c r="E48" s="27"/>
      <c r="F48" s="28"/>
    </row>
    <row r="49" spans="1:6" x14ac:dyDescent="0.25">
      <c r="A49" s="23">
        <v>47</v>
      </c>
      <c r="B49" s="35" t="s">
        <v>110</v>
      </c>
      <c r="C49" s="36" t="s">
        <v>111</v>
      </c>
      <c r="D49" s="26" t="s">
        <v>12</v>
      </c>
      <c r="E49" s="27"/>
      <c r="F49" s="28"/>
    </row>
    <row r="50" spans="1:6" x14ac:dyDescent="0.25">
      <c r="A50" s="23">
        <v>48</v>
      </c>
      <c r="B50" s="35" t="s">
        <v>110</v>
      </c>
      <c r="C50" s="36" t="s">
        <v>112</v>
      </c>
      <c r="D50" s="26" t="s">
        <v>12</v>
      </c>
      <c r="E50" s="27"/>
      <c r="F50" s="28"/>
    </row>
    <row r="51" spans="1:6" x14ac:dyDescent="0.25">
      <c r="A51" s="23">
        <v>49</v>
      </c>
      <c r="B51" s="54" t="s">
        <v>113</v>
      </c>
      <c r="C51" s="36" t="s">
        <v>114</v>
      </c>
      <c r="D51" s="46" t="s">
        <v>33</v>
      </c>
      <c r="E51" s="27" t="s">
        <v>115</v>
      </c>
      <c r="F51" s="28" t="s">
        <v>58</v>
      </c>
    </row>
    <row r="52" spans="1:6" x14ac:dyDescent="0.25">
      <c r="A52" s="23">
        <v>50</v>
      </c>
      <c r="B52" s="54" t="s">
        <v>113</v>
      </c>
      <c r="C52" s="36" t="s">
        <v>116</v>
      </c>
      <c r="D52" s="26" t="s">
        <v>12</v>
      </c>
      <c r="E52" s="65"/>
      <c r="F52" s="28"/>
    </row>
    <row r="53" spans="1:6" x14ac:dyDescent="0.25">
      <c r="A53" s="23">
        <v>51</v>
      </c>
      <c r="B53" s="54" t="s">
        <v>113</v>
      </c>
      <c r="C53" s="36" t="s">
        <v>117</v>
      </c>
      <c r="D53" s="26" t="s">
        <v>12</v>
      </c>
      <c r="E53" s="27"/>
      <c r="F53" s="28"/>
    </row>
    <row r="54" spans="1:6" x14ac:dyDescent="0.25">
      <c r="A54" s="23">
        <v>52</v>
      </c>
      <c r="B54" s="54" t="s">
        <v>113</v>
      </c>
      <c r="C54" s="36" t="s">
        <v>118</v>
      </c>
      <c r="D54" s="26" t="s">
        <v>12</v>
      </c>
      <c r="E54" s="65"/>
      <c r="F54" s="28"/>
    </row>
    <row r="55" spans="1:6" x14ac:dyDescent="0.25">
      <c r="A55" s="23">
        <v>53</v>
      </c>
      <c r="B55" s="54" t="s">
        <v>113</v>
      </c>
      <c r="C55" s="66" t="s">
        <v>119</v>
      </c>
      <c r="D55" s="26" t="s">
        <v>12</v>
      </c>
      <c r="E55" s="27"/>
      <c r="F55" s="28"/>
    </row>
    <row r="56" spans="1:6" x14ac:dyDescent="0.25">
      <c r="A56" s="23">
        <v>54</v>
      </c>
      <c r="B56" s="24" t="s">
        <v>10</v>
      </c>
      <c r="C56" s="66" t="s">
        <v>120</v>
      </c>
      <c r="D56" s="26" t="s">
        <v>12</v>
      </c>
      <c r="E56" s="27"/>
      <c r="F56" s="28"/>
    </row>
    <row r="57" spans="1:6" x14ac:dyDescent="0.25">
      <c r="A57" s="23">
        <v>55</v>
      </c>
      <c r="B57" s="54" t="s">
        <v>40</v>
      </c>
      <c r="C57" s="66" t="s">
        <v>121</v>
      </c>
      <c r="D57" s="26" t="s">
        <v>12</v>
      </c>
      <c r="E57" s="27"/>
      <c r="F57" s="28"/>
    </row>
    <row r="58" spans="1:6" x14ac:dyDescent="0.25">
      <c r="A58" s="23">
        <v>56</v>
      </c>
      <c r="B58" s="54" t="s">
        <v>74</v>
      </c>
      <c r="C58" s="66" t="s">
        <v>122</v>
      </c>
      <c r="D58" s="26" t="s">
        <v>12</v>
      </c>
      <c r="E58" s="27" t="s">
        <v>123</v>
      </c>
      <c r="F58" s="28"/>
    </row>
    <row r="59" spans="1:6" x14ac:dyDescent="0.25">
      <c r="A59" s="23">
        <v>57</v>
      </c>
      <c r="B59" s="54" t="s">
        <v>124</v>
      </c>
      <c r="C59" s="66" t="s">
        <v>125</v>
      </c>
      <c r="D59" s="26" t="s">
        <v>12</v>
      </c>
      <c r="E59" s="27"/>
      <c r="F59" s="28"/>
    </row>
    <row r="60" spans="1:6" x14ac:dyDescent="0.25">
      <c r="A60" s="23">
        <v>58</v>
      </c>
      <c r="B60" s="54" t="s">
        <v>124</v>
      </c>
      <c r="C60" s="66" t="s">
        <v>126</v>
      </c>
      <c r="D60" s="26" t="s">
        <v>12</v>
      </c>
      <c r="E60" s="27"/>
      <c r="F60" s="28"/>
    </row>
    <row r="61" spans="1:6" x14ac:dyDescent="0.25">
      <c r="A61" s="23">
        <v>59</v>
      </c>
      <c r="B61" s="54" t="s">
        <v>127</v>
      </c>
      <c r="C61" s="66" t="s">
        <v>128</v>
      </c>
      <c r="D61" s="26" t="s">
        <v>12</v>
      </c>
      <c r="E61" s="37"/>
      <c r="F61" s="38"/>
    </row>
    <row r="62" spans="1:6" x14ac:dyDescent="0.25">
      <c r="A62" s="23">
        <v>60</v>
      </c>
      <c r="B62" s="54" t="s">
        <v>113</v>
      </c>
      <c r="C62" s="66" t="s">
        <v>129</v>
      </c>
      <c r="D62" s="26" t="s">
        <v>12</v>
      </c>
      <c r="E62" s="27" t="s">
        <v>130</v>
      </c>
      <c r="F62" s="28"/>
    </row>
    <row r="63" spans="1:6" x14ac:dyDescent="0.25">
      <c r="A63" s="23">
        <v>61</v>
      </c>
      <c r="B63" s="54" t="s">
        <v>113</v>
      </c>
      <c r="C63" s="66" t="s">
        <v>131</v>
      </c>
      <c r="D63" s="26" t="s">
        <v>12</v>
      </c>
      <c r="E63" s="27"/>
      <c r="F63" s="28"/>
    </row>
    <row r="64" spans="1:6" x14ac:dyDescent="0.25">
      <c r="A64" s="67">
        <v>62</v>
      </c>
      <c r="B64" s="54" t="s">
        <v>132</v>
      </c>
      <c r="C64" s="68" t="s">
        <v>133</v>
      </c>
      <c r="D64" s="69" t="s">
        <v>12</v>
      </c>
      <c r="E64" s="70"/>
      <c r="F64" s="71"/>
    </row>
    <row r="65" spans="1:6" x14ac:dyDescent="0.25">
      <c r="A65" s="23">
        <v>63</v>
      </c>
      <c r="B65" s="72" t="s">
        <v>49</v>
      </c>
      <c r="C65" s="66" t="s">
        <v>134</v>
      </c>
      <c r="D65" s="73" t="s">
        <v>12</v>
      </c>
      <c r="E65" s="27"/>
      <c r="F65" s="28"/>
    </row>
    <row r="66" spans="1:6" x14ac:dyDescent="0.25">
      <c r="A66" s="23">
        <v>64</v>
      </c>
      <c r="B66" s="54" t="s">
        <v>10</v>
      </c>
      <c r="C66" s="66" t="s">
        <v>135</v>
      </c>
      <c r="D66" s="73" t="s">
        <v>12</v>
      </c>
      <c r="E66" s="27"/>
      <c r="F66" s="28"/>
    </row>
    <row r="67" spans="1:6" x14ac:dyDescent="0.25">
      <c r="A67" s="74">
        <v>65</v>
      </c>
      <c r="B67" s="54" t="s">
        <v>25</v>
      </c>
      <c r="C67" s="75" t="s">
        <v>136</v>
      </c>
      <c r="D67" s="73" t="s">
        <v>12</v>
      </c>
      <c r="E67" s="27"/>
      <c r="F67" s="76"/>
    </row>
    <row r="68" spans="1:6" ht="15.75" thickBot="1" x14ac:dyDescent="0.3">
      <c r="A68" s="77">
        <v>66</v>
      </c>
      <c r="B68" s="78" t="s">
        <v>10</v>
      </c>
      <c r="C68" s="79" t="s">
        <v>137</v>
      </c>
      <c r="D68" s="80" t="s">
        <v>12</v>
      </c>
      <c r="E68" s="81" t="s">
        <v>138</v>
      </c>
      <c r="F68" s="82"/>
    </row>
    <row r="69" spans="1:6" x14ac:dyDescent="0.25">
      <c r="B69" s="83"/>
      <c r="C69" s="83"/>
      <c r="D69" s="83"/>
      <c r="E69" s="84"/>
      <c r="F69" s="85"/>
    </row>
    <row r="71" spans="1:6" x14ac:dyDescent="0.25">
      <c r="B71" s="86" t="s">
        <v>139</v>
      </c>
      <c r="C71" s="87"/>
      <c r="D71" s="88"/>
    </row>
    <row r="72" spans="1:6" x14ac:dyDescent="0.25">
      <c r="B72" s="89"/>
      <c r="C72" s="90"/>
      <c r="D72" s="91"/>
    </row>
    <row r="73" spans="1:6" x14ac:dyDescent="0.25">
      <c r="B73" s="92" t="s">
        <v>140</v>
      </c>
      <c r="C73" s="93" t="s">
        <v>141</v>
      </c>
      <c r="D73" s="91"/>
    </row>
    <row r="74" spans="1:6" x14ac:dyDescent="0.25">
      <c r="B74" s="92" t="s">
        <v>142</v>
      </c>
      <c r="C74" s="93" t="s">
        <v>143</v>
      </c>
      <c r="D74" s="90" t="s">
        <v>144</v>
      </c>
    </row>
    <row r="75" spans="1:6" x14ac:dyDescent="0.25">
      <c r="B75" s="92" t="s">
        <v>145</v>
      </c>
      <c r="C75" s="94" t="s">
        <v>146</v>
      </c>
      <c r="D75" s="95" t="s">
        <v>147</v>
      </c>
    </row>
    <row r="76" spans="1:6" x14ac:dyDescent="0.25">
      <c r="B76" s="96" t="s">
        <v>148</v>
      </c>
      <c r="C76" s="97" t="s">
        <v>149</v>
      </c>
      <c r="D76" s="95"/>
      <c r="E76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UGToyota &amp; Fermel 16 Feb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Karsten</dc:creator>
  <cp:lastModifiedBy>Gregory Karsten</cp:lastModifiedBy>
  <dcterms:created xsi:type="dcterms:W3CDTF">2026-02-22T18:45:43Z</dcterms:created>
  <dcterms:modified xsi:type="dcterms:W3CDTF">2026-02-22T18:51:05Z</dcterms:modified>
</cp:coreProperties>
</file>