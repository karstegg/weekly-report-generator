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81000675\Desktop\Breadown Report\"/>
    </mc:Choice>
  </mc:AlternateContent>
  <xr:revisionPtr revIDLastSave="0" documentId="13_ncr:1_{80DC2C55-937C-4E4E-9B45-505FE2D2E8E0}" xr6:coauthVersionLast="47" xr6:coauthVersionMax="47" xr10:uidLastSave="{00000000-0000-0000-0000-000000000000}"/>
  <bookViews>
    <workbookView xWindow="-28920" yWindow="-120" windowWidth="29040" windowHeight="15840" activeTab="5" xr2:uid="{00000000-000D-0000-FFFF-FFFF00000000}"/>
  </bookViews>
  <sheets>
    <sheet name="13 Feb 26" sheetId="66" r:id="rId1"/>
    <sheet name="16 Feb 2026" sheetId="69" r:id="rId2"/>
    <sheet name="17 Feb 2026" sheetId="70" r:id="rId3"/>
    <sheet name="18 Feb 2026" sheetId="71" r:id="rId4"/>
    <sheet name="19 Feb 2026" sheetId="72" r:id="rId5"/>
    <sheet name="23 Feb 2026" sheetId="73" r:id="rId6"/>
    <sheet name="MINING" sheetId="67" state="hidden" r:id="rId7"/>
    <sheet name="ENGINEERING" sheetId="68" state="hidden" r:id="rId8"/>
  </sheets>
  <definedNames>
    <definedName name="_xlnm._FilterDatabase" localSheetId="0" hidden="1">'13 Feb 26'!$B$1:$B$75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6" i="73" l="1"/>
  <c r="K16" i="73" s="1"/>
  <c r="I16" i="73"/>
  <c r="K15" i="73"/>
  <c r="K14" i="73"/>
  <c r="K13" i="73"/>
  <c r="K12" i="73"/>
  <c r="K11" i="73"/>
  <c r="K10" i="73"/>
  <c r="K9" i="73"/>
  <c r="K8" i="73"/>
  <c r="K7" i="73"/>
  <c r="K6" i="73"/>
  <c r="K5" i="73"/>
  <c r="K4" i="73"/>
  <c r="K3" i="73"/>
  <c r="J16" i="72"/>
  <c r="I16" i="72"/>
  <c r="K16" i="72" s="1"/>
  <c r="K15" i="72"/>
  <c r="K14" i="72"/>
  <c r="K13" i="72"/>
  <c r="K12" i="72"/>
  <c r="K11" i="72"/>
  <c r="K10" i="72"/>
  <c r="K9" i="72"/>
  <c r="K8" i="72"/>
  <c r="K7" i="72"/>
  <c r="K6" i="72"/>
  <c r="K5" i="72"/>
  <c r="K4" i="72"/>
  <c r="K3" i="72"/>
  <c r="J16" i="71" l="1"/>
  <c r="I16" i="71"/>
  <c r="K16" i="71" s="1"/>
  <c r="K15" i="71"/>
  <c r="K14" i="71"/>
  <c r="K13" i="71"/>
  <c r="K12" i="71"/>
  <c r="K11" i="71"/>
  <c r="K10" i="71"/>
  <c r="K9" i="71"/>
  <c r="K8" i="71"/>
  <c r="K7" i="71"/>
  <c r="K6" i="71"/>
  <c r="K5" i="71"/>
  <c r="K4" i="71"/>
  <c r="K3" i="71"/>
  <c r="J16" i="70" l="1"/>
  <c r="I16" i="70"/>
  <c r="K16" i="70" s="1"/>
  <c r="K15" i="70"/>
  <c r="K14" i="70"/>
  <c r="K13" i="70"/>
  <c r="K12" i="70"/>
  <c r="K11" i="70"/>
  <c r="K10" i="70"/>
  <c r="K9" i="70"/>
  <c r="K8" i="70"/>
  <c r="K7" i="70"/>
  <c r="K6" i="70"/>
  <c r="K5" i="70"/>
  <c r="K4" i="70"/>
  <c r="K3" i="70"/>
  <c r="J16" i="69" l="1"/>
  <c r="I16" i="69"/>
  <c r="K15" i="69"/>
  <c r="K14" i="69"/>
  <c r="K13" i="69"/>
  <c r="K12" i="69"/>
  <c r="K11" i="69"/>
  <c r="K10" i="69"/>
  <c r="K9" i="69"/>
  <c r="K8" i="69"/>
  <c r="K7" i="69"/>
  <c r="K6" i="69"/>
  <c r="K5" i="69"/>
  <c r="K4" i="69"/>
  <c r="K3" i="69"/>
  <c r="J15" i="66"/>
  <c r="I15" i="66"/>
  <c r="K13" i="66"/>
  <c r="K12" i="66"/>
  <c r="K11" i="66"/>
  <c r="K16" i="69" l="1"/>
  <c r="K15" i="66"/>
  <c r="K14" i="66"/>
  <c r="K10" i="66"/>
  <c r="K9" i="66"/>
  <c r="K8" i="66"/>
  <c r="K7" i="66"/>
  <c r="K6" i="66"/>
  <c r="K5" i="66"/>
  <c r="K4" i="66"/>
  <c r="K3" i="66"/>
</calcChain>
</file>

<file path=xl/sharedStrings.xml><?xml version="1.0" encoding="utf-8"?>
<sst xmlns="http://schemas.openxmlformats.org/spreadsheetml/2006/main" count="1811" uniqueCount="309">
  <si>
    <t>No</t>
  </si>
  <si>
    <t>Area / Owner</t>
  </si>
  <si>
    <t>TMM No.</t>
  </si>
  <si>
    <t xml:space="preserve">Maverick King Cab NO Crane      </t>
  </si>
  <si>
    <t>Maverick king Cab c/w Crane</t>
  </si>
  <si>
    <t>Maverick Single cab Jam Pot</t>
  </si>
  <si>
    <t>Instrumentation</t>
  </si>
  <si>
    <t>LD0377</t>
  </si>
  <si>
    <t>Training Center</t>
  </si>
  <si>
    <t>LD0401</t>
  </si>
  <si>
    <t>LD0405</t>
  </si>
  <si>
    <t>LD0409</t>
  </si>
  <si>
    <t>LD0413</t>
  </si>
  <si>
    <t>LD0421</t>
  </si>
  <si>
    <t>LD0422</t>
  </si>
  <si>
    <t>LD0445</t>
  </si>
  <si>
    <t>LD0452</t>
  </si>
  <si>
    <t>LD0457</t>
  </si>
  <si>
    <t>LD0480</t>
  </si>
  <si>
    <t>LD0481</t>
  </si>
  <si>
    <t>LD0482</t>
  </si>
  <si>
    <t>LD0512</t>
  </si>
  <si>
    <t>LD0520</t>
  </si>
  <si>
    <t>UV0071</t>
  </si>
  <si>
    <t>UV0074</t>
  </si>
  <si>
    <t>UV0075</t>
  </si>
  <si>
    <t>UV0078</t>
  </si>
  <si>
    <t>UV0079</t>
  </si>
  <si>
    <t>UV0081</t>
  </si>
  <si>
    <t>UV0082</t>
  </si>
  <si>
    <t>UV0086</t>
  </si>
  <si>
    <t>UV0088</t>
  </si>
  <si>
    <t>UV0091</t>
  </si>
  <si>
    <t>UV0094</t>
  </si>
  <si>
    <t>UV0100</t>
  </si>
  <si>
    <t>UV0101</t>
  </si>
  <si>
    <t>UV0103</t>
  </si>
  <si>
    <t>LD0569</t>
  </si>
  <si>
    <t>LD0556</t>
  </si>
  <si>
    <t>LD0570</t>
  </si>
  <si>
    <t>LD0573</t>
  </si>
  <si>
    <t>LD0574</t>
  </si>
  <si>
    <t>LD0571</t>
  </si>
  <si>
    <t>LD0572</t>
  </si>
  <si>
    <t>LD0568</t>
  </si>
  <si>
    <t>Remaks /Comment</t>
  </si>
  <si>
    <t>LD0555</t>
  </si>
  <si>
    <t>LD0595</t>
  </si>
  <si>
    <t>LD0604</t>
  </si>
  <si>
    <t>LD0606</t>
  </si>
  <si>
    <t>LD0607</t>
  </si>
  <si>
    <t>LD0608</t>
  </si>
  <si>
    <t>LD0609</t>
  </si>
  <si>
    <t>LD0610</t>
  </si>
  <si>
    <t>LD0611</t>
  </si>
  <si>
    <t>LD0612</t>
  </si>
  <si>
    <t>LD0613</t>
  </si>
  <si>
    <t>LD0614</t>
  </si>
  <si>
    <t>LD0615</t>
  </si>
  <si>
    <t>LD0620</t>
  </si>
  <si>
    <t>LD0627</t>
  </si>
  <si>
    <t>LD0628</t>
  </si>
  <si>
    <t>LD0624</t>
  </si>
  <si>
    <t>LD0625</t>
  </si>
  <si>
    <t>LD0635</t>
  </si>
  <si>
    <t>LD0626</t>
  </si>
  <si>
    <t>BB0002</t>
  </si>
  <si>
    <t>BB0006</t>
  </si>
  <si>
    <t>UV0116</t>
  </si>
  <si>
    <t xml:space="preserve">LABOUR </t>
  </si>
  <si>
    <t xml:space="preserve">Chargehand </t>
  </si>
  <si>
    <t xml:space="preserve">Mech </t>
  </si>
  <si>
    <t xml:space="preserve">Auto </t>
  </si>
  <si>
    <t xml:space="preserve">Available </t>
  </si>
  <si>
    <t xml:space="preserve">Not Available </t>
  </si>
  <si>
    <t>LD0375</t>
  </si>
  <si>
    <t xml:space="preserve">Itireleng </t>
  </si>
  <si>
    <t>Electricians</t>
  </si>
  <si>
    <t xml:space="preserve">Construction </t>
  </si>
  <si>
    <t xml:space="preserve">Main West </t>
  </si>
  <si>
    <t xml:space="preserve">Security </t>
  </si>
  <si>
    <t xml:space="preserve">Sampling </t>
  </si>
  <si>
    <t xml:space="preserve">Survey </t>
  </si>
  <si>
    <t>LD0319</t>
  </si>
  <si>
    <t xml:space="preserve">Plant Fitter </t>
  </si>
  <si>
    <t xml:space="preserve">Hyd Fitter </t>
  </si>
  <si>
    <t xml:space="preserve">Exploisive </t>
  </si>
  <si>
    <t>BEV</t>
  </si>
  <si>
    <t>Boilermaker</t>
  </si>
  <si>
    <t xml:space="preserve">Geology </t>
  </si>
  <si>
    <t xml:space="preserve">Traimming </t>
  </si>
  <si>
    <t>Drill Shop</t>
  </si>
  <si>
    <t>Mechanics</t>
  </si>
  <si>
    <t xml:space="preserve">Central </t>
  </si>
  <si>
    <t>Rock Engneering</t>
  </si>
  <si>
    <t>SWD</t>
  </si>
  <si>
    <t xml:space="preserve">Manager </t>
  </si>
  <si>
    <t xml:space="preserve">X Cut </t>
  </si>
  <si>
    <t>Sim 2</t>
  </si>
  <si>
    <t>LD0622</t>
  </si>
  <si>
    <t>Logistics</t>
  </si>
  <si>
    <t>LD0465</t>
  </si>
  <si>
    <t xml:space="preserve">OEM Assistance Required / Waiting Parts </t>
  </si>
  <si>
    <t xml:space="preserve">Tyre Bay </t>
  </si>
  <si>
    <t>LD0272</t>
  </si>
  <si>
    <t xml:space="preserve">Ambulance </t>
  </si>
  <si>
    <t>LD0283</t>
  </si>
  <si>
    <t>Sanitec</t>
  </si>
  <si>
    <t>UV0045</t>
  </si>
  <si>
    <t>Semi skilled</t>
  </si>
  <si>
    <t>Total</t>
  </si>
  <si>
    <t>Breakdown</t>
  </si>
  <si>
    <t>Maverick Double cab</t>
  </si>
  <si>
    <t>Maverick Man lift</t>
  </si>
  <si>
    <t>Placer dumper</t>
  </si>
  <si>
    <t>Toyota Hilux</t>
  </si>
  <si>
    <t>Toyota Landcruiser</t>
  </si>
  <si>
    <t>Toyota Landcruiser Minespec</t>
  </si>
  <si>
    <t>Bob Cat</t>
  </si>
  <si>
    <t>Bird Machine</t>
  </si>
  <si>
    <t>Availability</t>
  </si>
  <si>
    <t>Description - EOS / Breakdown</t>
  </si>
  <si>
    <t>TOTAL</t>
  </si>
  <si>
    <t>Utility TMM</t>
  </si>
  <si>
    <t>LD0646</t>
  </si>
  <si>
    <t>Section</t>
  </si>
  <si>
    <t>Machine Number</t>
  </si>
  <si>
    <t>Responsible person</t>
  </si>
  <si>
    <t>Status</t>
  </si>
  <si>
    <t>Load &amp; Haul</t>
  </si>
  <si>
    <t>Explosives</t>
  </si>
  <si>
    <t>Model</t>
  </si>
  <si>
    <t xml:space="preserve">Minespec 8 Seater </t>
  </si>
  <si>
    <t>Roadways</t>
  </si>
  <si>
    <t>HPDC Fermel</t>
  </si>
  <si>
    <t>Fair.</t>
  </si>
  <si>
    <t xml:space="preserve">Minespec - Flat deck with high up. </t>
  </si>
  <si>
    <t xml:space="preserve">Good condtion </t>
  </si>
  <si>
    <t xml:space="preserve">Fermel Tropper </t>
  </si>
  <si>
    <t>Christo</t>
  </si>
  <si>
    <t>X-Cut / Sim 2 North</t>
  </si>
  <si>
    <t>Sim 2 South</t>
  </si>
  <si>
    <t xml:space="preserve">Stephen </t>
  </si>
  <si>
    <t>North West / Main West</t>
  </si>
  <si>
    <t xml:space="preserve">Francois </t>
  </si>
  <si>
    <t xml:space="preserve">Excellent condtion </t>
  </si>
  <si>
    <t>Bad condition(Not well taken care off by end users)</t>
  </si>
  <si>
    <t xml:space="preserve">LD0635 </t>
  </si>
  <si>
    <t>Minespec 2 Seater with carrier</t>
  </si>
  <si>
    <t>Not been operational for long time - because we could not get assistence from OEM.</t>
  </si>
  <si>
    <t>Old Land Cruiser(Ambulance)</t>
  </si>
  <si>
    <t xml:space="preserve">Good condition (We change leave springs, U-bolts &amp; front suspenssion, because this vehicle is driven were the are no roads) </t>
  </si>
  <si>
    <t>Jabulani</t>
  </si>
  <si>
    <t>South West</t>
  </si>
  <si>
    <t>Excellent condtion ( Fender /Door need replacement. No iccident/accident report)</t>
  </si>
  <si>
    <t>Good condition (We change leave springs, U-bolts &amp; front suspenssion, because this vehicle is driven were the are no roads) ( Fender /Door need replacement. No iccident/accident report)</t>
  </si>
  <si>
    <t>Good condition (We change leave springs, U-bolts &amp; front suspenssion, because this vehicle is driven were the are no roads)  ( Fender /Door need replacement. No iccident/accident report)</t>
  </si>
  <si>
    <t>Old Land Cruiser(2013)</t>
  </si>
  <si>
    <t xml:space="preserve">LD0319 </t>
  </si>
  <si>
    <t>Tshepo</t>
  </si>
  <si>
    <t>Stephen/Ronald</t>
  </si>
  <si>
    <t xml:space="preserve">Fermel Flat deck With Crane </t>
  </si>
  <si>
    <t>Good Condition</t>
  </si>
  <si>
    <t xml:space="preserve">Electrical </t>
  </si>
  <si>
    <t>Minespec Flat Deck With High-up</t>
  </si>
  <si>
    <t>Fair condition</t>
  </si>
  <si>
    <t xml:space="preserve">Martin </t>
  </si>
  <si>
    <t>LDO452</t>
  </si>
  <si>
    <t xml:space="preserve">Boilermaker </t>
  </si>
  <si>
    <t>Sirk</t>
  </si>
  <si>
    <t xml:space="preserve">Minespec Flat Deck </t>
  </si>
  <si>
    <t xml:space="preserve">Lorenzo </t>
  </si>
  <si>
    <t>Not operational as from July 2025, reason being we installed new Deutz engine(EMR5) and cannot communicate with fermel)</t>
  </si>
  <si>
    <t>Not operational as from 2024 January, reason being we installed new Deutz engine(EMR5) and cannot communicate with fermel)</t>
  </si>
  <si>
    <t xml:space="preserve">Mechanics </t>
  </si>
  <si>
    <t>Minespec Flat Deck</t>
  </si>
  <si>
    <t xml:space="preserve">Minespec Flat Deck With Crane </t>
  </si>
  <si>
    <t>Piet</t>
  </si>
  <si>
    <t>Excellent condtion ( Fender /Door need replacement)</t>
  </si>
  <si>
    <t xml:space="preserve">Shaft </t>
  </si>
  <si>
    <t>Minespec Flat Deck 2 Seater</t>
  </si>
  <si>
    <t>Johan</t>
  </si>
  <si>
    <t xml:space="preserve">Fermel Flat deck  </t>
  </si>
  <si>
    <t>Hilux</t>
  </si>
  <si>
    <t>Hilux (2015)</t>
  </si>
  <si>
    <t>D/C Hilux (2017)</t>
  </si>
  <si>
    <t>Johannes</t>
  </si>
  <si>
    <t xml:space="preserve">Piet </t>
  </si>
  <si>
    <t>Moshala</t>
  </si>
  <si>
    <t xml:space="preserve">Rock Engineering </t>
  </si>
  <si>
    <t>Pelonomi</t>
  </si>
  <si>
    <t xml:space="preserve">Instrumentation </t>
  </si>
  <si>
    <t>LD0474</t>
  </si>
  <si>
    <t xml:space="preserve">Thabo </t>
  </si>
  <si>
    <t>IT</t>
  </si>
  <si>
    <t xml:space="preserve">Hilux </t>
  </si>
  <si>
    <t xml:space="preserve">Links </t>
  </si>
  <si>
    <t>On breakdown (Standing with engine)</t>
  </si>
  <si>
    <t>Fair Condition</t>
  </si>
  <si>
    <t xml:space="preserve">N3 Engineering Transport </t>
  </si>
  <si>
    <t xml:space="preserve">N3 Mining Transport </t>
  </si>
  <si>
    <t xml:space="preserve">Bad condition (We constantly change leave springs, U-bolts &amp; front suspenssion, because this vehicle is driven were the are no roads) </t>
  </si>
  <si>
    <t>Fair Condtion (It was crapped because it reached its life span/ or because of its unreliable condition but it was retrived from scrap yard and put back to production)</t>
  </si>
  <si>
    <t>Fair Condition (Being utilised as delivery vehicle for material)</t>
  </si>
  <si>
    <t>Good condition( Fender /Door need replacement)</t>
  </si>
  <si>
    <t>Good condition ( We change leave springs &amp; U-bolts  because this vehicle is driven were the are no roads) ( Fender /Door need replacement)</t>
  </si>
  <si>
    <t>Not utilized yet(Level 9 Cas)</t>
  </si>
  <si>
    <t xml:space="preserve">Good condition </t>
  </si>
  <si>
    <t xml:space="preserve">Excellent condition </t>
  </si>
  <si>
    <t>Fair Condition(It was standing for long and now its fixed)</t>
  </si>
  <si>
    <t>Fair Condition (Replacing front suspession continuesly)</t>
  </si>
  <si>
    <t>Fair Condition  (Replacing front suspession continuesly)</t>
  </si>
  <si>
    <t xml:space="preserve">Mining </t>
  </si>
  <si>
    <t>2/2</t>
  </si>
  <si>
    <t>LD0643</t>
  </si>
  <si>
    <t>LD0644</t>
  </si>
  <si>
    <t>No solution from Fermel(Deutz EMR4 upgrade to EMR5)</t>
  </si>
  <si>
    <t>LD0645</t>
  </si>
  <si>
    <t xml:space="preserve">ROROs </t>
  </si>
  <si>
    <t>5/8</t>
  </si>
  <si>
    <t xml:space="preserve"> X 1 annual leave </t>
  </si>
  <si>
    <t xml:space="preserve">Engine commision( No comminication between engine and Machine) </t>
  </si>
  <si>
    <t>2/4</t>
  </si>
  <si>
    <t>1/1</t>
  </si>
  <si>
    <t>Strata (Surface decline &amp; No acces to the gat, its locked ) - (SOS - EOS)</t>
  </si>
  <si>
    <t>Rear axle -  (SOS - EOS)</t>
  </si>
  <si>
    <t xml:space="preserve">x1 on sick leave untill April /x1 at training center as from last year </t>
  </si>
  <si>
    <t>13/02/2026 DAY SHIFT REPORT</t>
  </si>
  <si>
    <t>Petroman - (SOS - 08:17)</t>
  </si>
  <si>
    <t xml:space="preserve">Petroman - (11:03 - </t>
  </si>
  <si>
    <t>Petroman - (07:36 - 10:07)</t>
  </si>
  <si>
    <t>Not accelerating &amp; Strata - (09:22 - 10:59)</t>
  </si>
  <si>
    <t>Not accelerating - (10:34 - 12:34)</t>
  </si>
  <si>
    <t>Petroman - 08:29 - 09:47)</t>
  </si>
  <si>
    <t>Petroman - 12:37 - 09:46)</t>
  </si>
  <si>
    <t>No reverse alarm - (06:48 - 08:30)</t>
  </si>
  <si>
    <t xml:space="preserve">Maverick tropper    </t>
  </si>
  <si>
    <t>1/4</t>
  </si>
  <si>
    <t>x1 on sick leave untill April /x1 at training center as from last year /X1 FR</t>
  </si>
  <si>
    <t xml:space="preserve"> X 1 annual leave /</t>
  </si>
  <si>
    <t>Front axle - (SOS - EOS)</t>
  </si>
  <si>
    <t>Center portion - (SOS - EOS)</t>
  </si>
  <si>
    <t>Not Starting, Emergency brake knob broken off, Ball joint - (SOS - EOS)</t>
  </si>
  <si>
    <t xml:space="preserve">Waiting for parts </t>
  </si>
  <si>
    <t>Hooter - (12:06 - 12:41)</t>
  </si>
  <si>
    <t>Starting - (08:26 - 10:48)</t>
  </si>
  <si>
    <t>Not Starting - (08:31 - 11:22)</t>
  </si>
  <si>
    <t>Front propshaft -  (SOS - EOS)</t>
  </si>
  <si>
    <t>Not Starting - (09:06 - 12:18)</t>
  </si>
  <si>
    <t>Not Starting - (SOS - 13:56)</t>
  </si>
  <si>
    <t>No Acceleration - (14:03 - 14:38)</t>
  </si>
  <si>
    <t>Not accelerating / Main switch faulty - (SOS - 14:38)</t>
  </si>
  <si>
    <t>NeroView is Off - (13:57 - 14:38)</t>
  </si>
  <si>
    <t>Strata (Surface decline &amp; No acces to the gat, its locked ) (Strata techcian refused to go with - (SOS - EOS)</t>
  </si>
  <si>
    <t>16/02/2026 DAY SHIFT REPORT</t>
  </si>
  <si>
    <t xml:space="preserve">Scrapped / operational </t>
  </si>
  <si>
    <t>17/02/2026 DAY SHIFT REPORT</t>
  </si>
  <si>
    <t>Puncture - (07:37 - EOS)</t>
  </si>
  <si>
    <t>Center portion - (SOS - 13:09)</t>
  </si>
  <si>
    <t>Puncture - (13:14 - 14:06)</t>
  </si>
  <si>
    <t>Petroman - (SOS - 10:04)</t>
  </si>
  <si>
    <t>Not Accelerating - (SOS - EOS)</t>
  </si>
  <si>
    <t>Mulfunctioning  outriggers - (08:43 - 10:49)</t>
  </si>
  <si>
    <t>Mulfunctioning  outriggers - (08:44 - 09:44)</t>
  </si>
  <si>
    <t>Scrapped - plant GES is refusing to let Go of the vehicle.</t>
  </si>
  <si>
    <t>Replaced with LD0645</t>
  </si>
  <si>
    <t>Engine cut off - (09:53 - 10:52)</t>
  </si>
  <si>
    <t>Faulty Strata - (08:58 - 11:07)</t>
  </si>
  <si>
    <t>Waiting for parts / Prop shaft to be delivered on the 18/02/2026</t>
  </si>
  <si>
    <t>18/02/2026 DAY SHIFT REPORT</t>
  </si>
  <si>
    <t xml:space="preserve">Strata - (09:13 - 11:18) </t>
  </si>
  <si>
    <t>Oil leak - (11:01 - 13:29)</t>
  </si>
  <si>
    <t>Puncture - (07:03 - 08:06)</t>
  </si>
  <si>
    <t>Not Accelerating - (SOS - 10:19)</t>
  </si>
  <si>
    <t>Not accelerating - (SOS - 12:42)</t>
  </si>
  <si>
    <t>Not accelerating - (SOS - 08:43)</t>
  </si>
  <si>
    <t>Leaf spring / U bolt - (10:06 - 14:55)</t>
  </si>
  <si>
    <t>Puncture - (SOS - EOS)</t>
  </si>
  <si>
    <t>x1 on sick leave untill April /x1 at training center as from last year / X1 Proto call out</t>
  </si>
  <si>
    <t>Clutch / Missing shock - (07:27 - EOS)</t>
  </si>
  <si>
    <t>19/02/2026 DAY SHIFT REPORT</t>
  </si>
  <si>
    <t>Clutch / Missing shock - (SOS - EOS)</t>
  </si>
  <si>
    <t>Puncture - (SOS - 08:01)</t>
  </si>
  <si>
    <t>Head lights / Strata / Not Accelerating - (08:13 - 10:31)</t>
  </si>
  <si>
    <t>Not accelerating - (08:29 - 09:50)</t>
  </si>
  <si>
    <t>NeroView switches off while driving - (SOS - 09:50)</t>
  </si>
  <si>
    <t>Strata / main switch - (SOS - EOS)</t>
  </si>
  <si>
    <t>Worn CV joint - (08:00 - 14:51)</t>
  </si>
  <si>
    <t>Not Starting - (SOS - 09:32)</t>
  </si>
  <si>
    <t>Not Starting - (SOS - EOS)</t>
  </si>
  <si>
    <t>Brake pedal faulty - ( 08:58 - EOS)</t>
  </si>
  <si>
    <t>4/8</t>
  </si>
  <si>
    <t>2 x tyre Change - (10:07 - 12:02)</t>
  </si>
  <si>
    <t>Petroman - (08:10 -10:17)</t>
  </si>
  <si>
    <t>Puncture - (10:49 - EOS)</t>
  </si>
  <si>
    <t>Not Starting - (09:07 - 11:27)</t>
  </si>
  <si>
    <t>Rim replacement - (SOS - 12:48)</t>
  </si>
  <si>
    <t>Not Starting, Emergency brake knob broken off, Ball joint - (SOS - 08:53)</t>
  </si>
  <si>
    <t>Lights - (10:29 - EOS)</t>
  </si>
  <si>
    <t>Lights - (11:44 - 12:32)</t>
  </si>
  <si>
    <t>Strata - (09:22 - 10:40)</t>
  </si>
  <si>
    <t>No acceleration - (07:32 - 10:40)</t>
  </si>
  <si>
    <t>Not Starting - 08:55 - 10:33)</t>
  </si>
  <si>
    <t>Strata - (12:52 - 13:58)</t>
  </si>
  <si>
    <t>Engine cut off / Oil leak - (14:13 - EOS)</t>
  </si>
  <si>
    <t>3/3</t>
  </si>
  <si>
    <t>Building axle from two scrapped fermels(No avail axle)</t>
  </si>
  <si>
    <t>23/02/2026 DAY SHIFT REPORT</t>
  </si>
  <si>
    <t xml:space="preserve">Service / Maintenance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</si>
</sst>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R&quot;#,##0;[Red]\-&quot;R&quot;#,##0"/>
    <numFmt numFmtId="43" formatCode="_-* #,##0.00_-;\-* #,##0.00_-;_-* &quot;-&quot;??_-;_-@_-"/>
  </numFmts>
  <fonts count="1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color theme="2" tint="-0.89999084444715716"/>
      <name val="Calibri"/>
      <family val="2"/>
    </font>
    <font>
      <b/>
      <sz val="11"/>
      <color theme="1"/>
      <name val="Calibri"/>
      <family val="2"/>
    </font>
    <font>
      <b/>
      <sz val="20"/>
      <color theme="1"/>
      <name val="Calibri"/>
      <family val="2"/>
      <scheme val="minor"/>
    </font>
    <font>
      <sz val="8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0" fontId="4" fillId="0" borderId="0"/>
    <xf numFmtId="0" fontId="6" fillId="0" borderId="0"/>
    <xf numFmtId="9" fontId="2" fillId="0" borderId="0" applyFont="0" applyFill="0" applyBorder="0" applyAlignment="0" applyProtection="0"/>
  </cellStyleXfs>
  <cellXfs count="123">
    <xf numFmtId="0" fontId="0" fillId="0" borderId="0" xfId="0"/>
    <xf numFmtId="0" fontId="3" fillId="2" borderId="3" xfId="0" applyFont="1" applyFill="1" applyBorder="1" applyAlignment="1">
      <alignment horizontal="center"/>
    </xf>
    <xf numFmtId="49" fontId="1" fillId="0" borderId="0" xfId="0" applyNumberFormat="1" applyFont="1" applyFill="1" applyBorder="1"/>
    <xf numFmtId="0" fontId="0" fillId="0" borderId="4" xfId="0" applyFont="1" applyFill="1" applyBorder="1" applyAlignment="1">
      <alignment horizontal="center"/>
    </xf>
    <xf numFmtId="0" fontId="0" fillId="0" borderId="0" xfId="0" applyBorder="1"/>
    <xf numFmtId="0" fontId="5" fillId="0" borderId="0" xfId="0" applyFont="1" applyFill="1" applyBorder="1" applyAlignment="1">
      <alignment horizontal="center"/>
    </xf>
    <xf numFmtId="0" fontId="0" fillId="0" borderId="0" xfId="0" applyFont="1" applyFill="1" applyBorder="1"/>
    <xf numFmtId="1" fontId="0" fillId="0" borderId="4" xfId="0" applyNumberFormat="1" applyFont="1" applyFill="1" applyBorder="1" applyAlignment="1">
      <alignment horizontal="center"/>
    </xf>
    <xf numFmtId="0" fontId="0" fillId="0" borderId="6" xfId="0" applyFont="1" applyFill="1" applyBorder="1"/>
    <xf numFmtId="1" fontId="0" fillId="0" borderId="6" xfId="0" applyNumberFormat="1" applyFont="1" applyFill="1" applyBorder="1"/>
    <xf numFmtId="0" fontId="3" fillId="2" borderId="10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8" fillId="0" borderId="11" xfId="0" applyFont="1" applyBorder="1" applyAlignment="1" applyProtection="1">
      <alignment horizontal="center" vertical="center" wrapText="1" readingOrder="1"/>
      <protection locked="0"/>
    </xf>
    <xf numFmtId="0" fontId="6" fillId="0" borderId="0" xfId="0" applyFont="1" applyAlignment="1">
      <alignment horizontal="center" vertical="center"/>
    </xf>
    <xf numFmtId="0" fontId="6" fillId="8" borderId="2" xfId="0" applyFont="1" applyFill="1" applyBorder="1" applyAlignment="1">
      <alignment horizontal="center" vertical="center" readingOrder="1"/>
    </xf>
    <xf numFmtId="0" fontId="6" fillId="8" borderId="4" xfId="0" applyFont="1" applyFill="1" applyBorder="1" applyAlignment="1">
      <alignment horizontal="center" vertical="center"/>
    </xf>
    <xf numFmtId="0" fontId="7" fillId="8" borderId="7" xfId="0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center" vertical="center" readingOrder="1"/>
    </xf>
    <xf numFmtId="0" fontId="6" fillId="10" borderId="4" xfId="0" applyFont="1" applyFill="1" applyBorder="1" applyAlignment="1">
      <alignment horizontal="center" vertical="center" readingOrder="1"/>
    </xf>
    <xf numFmtId="1" fontId="0" fillId="9" borderId="1" xfId="0" applyNumberFormat="1" applyFont="1" applyFill="1" applyBorder="1" applyAlignment="1">
      <alignment horizontal="center"/>
    </xf>
    <xf numFmtId="0" fontId="0" fillId="0" borderId="4" xfId="0" applyFont="1" applyBorder="1" applyAlignment="1">
      <alignment horizontal="center"/>
    </xf>
    <xf numFmtId="14" fontId="0" fillId="0" borderId="4" xfId="0" applyNumberFormat="1" applyFont="1" applyFill="1" applyBorder="1" applyAlignment="1">
      <alignment horizontal="center"/>
    </xf>
    <xf numFmtId="1" fontId="0" fillId="0" borderId="8" xfId="0" applyNumberFormat="1" applyFont="1" applyFill="1" applyBorder="1" applyAlignment="1">
      <alignment horizontal="center"/>
    </xf>
    <xf numFmtId="1" fontId="0" fillId="0" borderId="9" xfId="0" applyNumberFormat="1" applyFont="1" applyFill="1" applyBorder="1"/>
    <xf numFmtId="49" fontId="6" fillId="10" borderId="4" xfId="0" applyNumberFormat="1" applyFont="1" applyFill="1" applyBorder="1" applyAlignment="1">
      <alignment horizontal="center" vertical="center" readingOrder="1"/>
    </xf>
    <xf numFmtId="49" fontId="6" fillId="10" borderId="2" xfId="0" applyNumberFormat="1" applyFont="1" applyFill="1" applyBorder="1" applyAlignment="1">
      <alignment horizontal="center" vertical="center" readingOrder="1"/>
    </xf>
    <xf numFmtId="49" fontId="6" fillId="10" borderId="4" xfId="0" applyNumberFormat="1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 readingOrder="1"/>
    </xf>
    <xf numFmtId="0" fontId="7" fillId="0" borderId="7" xfId="0" applyFont="1" applyBorder="1" applyAlignment="1">
      <alignment horizontal="center" vertical="center" readingOrder="1"/>
    </xf>
    <xf numFmtId="0" fontId="6" fillId="0" borderId="4" xfId="0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/>
    </xf>
    <xf numFmtId="0" fontId="5" fillId="0" borderId="0" xfId="0" quotePrefix="1" applyFont="1" applyFill="1" applyBorder="1" applyAlignment="1">
      <alignment horizontal="center"/>
    </xf>
    <xf numFmtId="1" fontId="0" fillId="0" borderId="0" xfId="0" applyNumberFormat="1" applyFont="1" applyFill="1" applyBorder="1" applyAlignment="1">
      <alignment horizontal="center"/>
    </xf>
    <xf numFmtId="1" fontId="0" fillId="0" borderId="0" xfId="0" applyNumberFormat="1" applyFont="1" applyFill="1" applyBorder="1"/>
    <xf numFmtId="1" fontId="0" fillId="11" borderId="1" xfId="0" applyNumberFormat="1" applyFont="1" applyFill="1" applyBorder="1" applyAlignment="1">
      <alignment horizontal="center"/>
    </xf>
    <xf numFmtId="0" fontId="0" fillId="12" borderId="12" xfId="0" applyFont="1" applyFill="1" applyBorder="1"/>
    <xf numFmtId="0" fontId="0" fillId="4" borderId="13" xfId="0" applyFont="1" applyFill="1" applyBorder="1"/>
    <xf numFmtId="0" fontId="0" fillId="13" borderId="13" xfId="0" applyFont="1" applyFill="1" applyBorder="1"/>
    <xf numFmtId="0" fontId="0" fillId="5" borderId="14" xfId="0" applyFont="1" applyFill="1" applyBorder="1"/>
    <xf numFmtId="0" fontId="0" fillId="6" borderId="13" xfId="0" applyFont="1" applyFill="1" applyBorder="1"/>
    <xf numFmtId="0" fontId="0" fillId="7" borderId="13" xfId="0" applyFont="1" applyFill="1" applyBorder="1"/>
    <xf numFmtId="0" fontId="3" fillId="0" borderId="18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0" fillId="12" borderId="14" xfId="0" applyFont="1" applyFill="1" applyBorder="1"/>
    <xf numFmtId="0" fontId="0" fillId="0" borderId="15" xfId="0" applyBorder="1"/>
    <xf numFmtId="0" fontId="0" fillId="0" borderId="0" xfId="0" applyFill="1" applyBorder="1"/>
    <xf numFmtId="0" fontId="0" fillId="0" borderId="24" xfId="0" applyFont="1" applyFill="1" applyBorder="1" applyAlignment="1">
      <alignment horizontal="center"/>
    </xf>
    <xf numFmtId="0" fontId="5" fillId="0" borderId="7" xfId="0" applyFont="1" applyFill="1" applyBorder="1" applyAlignment="1">
      <alignment horizontal="center"/>
    </xf>
    <xf numFmtId="0" fontId="0" fillId="0" borderId="7" xfId="0" applyFont="1" applyFill="1" applyBorder="1" applyAlignment="1">
      <alignment horizontal="center"/>
    </xf>
    <xf numFmtId="0" fontId="5" fillId="0" borderId="7" xfId="0" quotePrefix="1" applyFont="1" applyFill="1" applyBorder="1" applyAlignment="1">
      <alignment horizontal="center"/>
    </xf>
    <xf numFmtId="1" fontId="0" fillId="11" borderId="8" xfId="0" applyNumberFormat="1" applyFont="1" applyFill="1" applyBorder="1" applyAlignment="1">
      <alignment horizontal="center"/>
    </xf>
    <xf numFmtId="1" fontId="0" fillId="0" borderId="25" xfId="0" applyNumberFormat="1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3" fillId="0" borderId="4" xfId="0" applyFont="1" applyBorder="1"/>
    <xf numFmtId="0" fontId="0" fillId="0" borderId="4" xfId="0" applyBorder="1"/>
    <xf numFmtId="6" fontId="0" fillId="0" borderId="4" xfId="0" applyNumberFormat="1" applyBorder="1" applyAlignment="1">
      <alignment horizontal="left"/>
    </xf>
    <xf numFmtId="0" fontId="0" fillId="0" borderId="4" xfId="0" applyFill="1" applyBorder="1"/>
    <xf numFmtId="0" fontId="9" fillId="2" borderId="4" xfId="0" applyFont="1" applyFill="1" applyBorder="1" applyAlignment="1">
      <alignment vertical="center" wrapText="1"/>
    </xf>
    <xf numFmtId="0" fontId="3" fillId="2" borderId="4" xfId="0" applyFont="1" applyFill="1" applyBorder="1"/>
    <xf numFmtId="0" fontId="0" fillId="2" borderId="4" xfId="0" applyFill="1" applyBorder="1"/>
    <xf numFmtId="6" fontId="3" fillId="0" borderId="4" xfId="0" applyNumberFormat="1" applyFont="1" applyBorder="1" applyAlignment="1">
      <alignment horizontal="left"/>
    </xf>
    <xf numFmtId="0" fontId="0" fillId="0" borderId="1" xfId="0" applyBorder="1"/>
    <xf numFmtId="0" fontId="0" fillId="0" borderId="27" xfId="0" applyFill="1" applyBorder="1"/>
    <xf numFmtId="0" fontId="5" fillId="0" borderId="28" xfId="0" quotePrefix="1" applyFont="1" applyFill="1" applyBorder="1" applyAlignment="1">
      <alignment horizontal="center"/>
    </xf>
    <xf numFmtId="1" fontId="0" fillId="11" borderId="27" xfId="0" applyNumberFormat="1" applyFont="1" applyFill="1" applyBorder="1" applyAlignment="1">
      <alignment horizontal="center"/>
    </xf>
    <xf numFmtId="1" fontId="0" fillId="0" borderId="29" xfId="0" applyNumberFormat="1" applyFont="1" applyFill="1" applyBorder="1" applyAlignment="1">
      <alignment horizontal="center"/>
    </xf>
    <xf numFmtId="1" fontId="0" fillId="0" borderId="19" xfId="0" applyNumberFormat="1" applyFont="1" applyFill="1" applyBorder="1"/>
    <xf numFmtId="0" fontId="0" fillId="2" borderId="30" xfId="0" applyFill="1" applyBorder="1"/>
    <xf numFmtId="0" fontId="0" fillId="0" borderId="31" xfId="0" applyBorder="1"/>
    <xf numFmtId="0" fontId="0" fillId="0" borderId="31" xfId="0" applyFill="1" applyBorder="1"/>
    <xf numFmtId="0" fontId="0" fillId="0" borderId="32" xfId="0" applyFill="1" applyBorder="1"/>
    <xf numFmtId="0" fontId="5" fillId="0" borderId="14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3" xfId="0" quotePrefix="1" applyFont="1" applyBorder="1" applyAlignment="1">
      <alignment horizontal="center"/>
    </xf>
    <xf numFmtId="0" fontId="5" fillId="0" borderId="14" xfId="0" quotePrefix="1" applyFont="1" applyBorder="1" applyAlignment="1">
      <alignment horizontal="center"/>
    </xf>
    <xf numFmtId="0" fontId="5" fillId="11" borderId="4" xfId="0" quotePrefix="1" applyFont="1" applyFill="1" applyBorder="1" applyAlignment="1">
      <alignment horizontal="center"/>
    </xf>
    <xf numFmtId="0" fontId="5" fillId="11" borderId="34" xfId="0" quotePrefix="1" applyFont="1" applyFill="1" applyBorder="1" applyAlignment="1">
      <alignment horizontal="center"/>
    </xf>
    <xf numFmtId="0" fontId="0" fillId="0" borderId="35" xfId="0" applyFill="1" applyBorder="1"/>
    <xf numFmtId="0" fontId="5" fillId="0" borderId="36" xfId="0" quotePrefix="1" applyFont="1" applyFill="1" applyBorder="1" applyAlignment="1">
      <alignment horizontal="center"/>
    </xf>
    <xf numFmtId="1" fontId="0" fillId="0" borderId="22" xfId="0" applyNumberFormat="1" applyFont="1" applyFill="1" applyBorder="1"/>
    <xf numFmtId="0" fontId="5" fillId="0" borderId="12" xfId="0" applyFont="1" applyBorder="1" applyAlignment="1">
      <alignment horizontal="center"/>
    </xf>
    <xf numFmtId="0" fontId="5" fillId="0" borderId="21" xfId="0" quotePrefix="1" applyFont="1" applyBorder="1" applyAlignment="1">
      <alignment horizontal="center"/>
    </xf>
    <xf numFmtId="0" fontId="0" fillId="8" borderId="0" xfId="0" applyFill="1"/>
    <xf numFmtId="49" fontId="0" fillId="3" borderId="13" xfId="0" applyNumberFormat="1" applyFont="1" applyFill="1" applyBorder="1"/>
    <xf numFmtId="0" fontId="3" fillId="0" borderId="15" xfId="0" applyFont="1" applyBorder="1" applyAlignment="1">
      <alignment horizontal="center"/>
    </xf>
    <xf numFmtId="0" fontId="0" fillId="12" borderId="12" xfId="0" applyFill="1" applyBorder="1" applyAlignment="1">
      <alignment horizontal="center"/>
    </xf>
    <xf numFmtId="0" fontId="0" fillId="12" borderId="14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13" borderId="13" xfId="0" applyFill="1" applyBorder="1" applyAlignment="1">
      <alignment horizontal="center"/>
    </xf>
    <xf numFmtId="0" fontId="0" fillId="5" borderId="14" xfId="0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3" fillId="7" borderId="13" xfId="0" applyFont="1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9" fontId="0" fillId="12" borderId="23" xfId="4" applyFont="1" applyFill="1" applyBorder="1" applyAlignment="1">
      <alignment horizontal="center"/>
    </xf>
    <xf numFmtId="9" fontId="0" fillId="12" borderId="16" xfId="4" applyFont="1" applyFill="1" applyBorder="1" applyAlignment="1">
      <alignment horizontal="center"/>
    </xf>
    <xf numFmtId="9" fontId="0" fillId="4" borderId="16" xfId="4" applyFont="1" applyFill="1" applyBorder="1" applyAlignment="1">
      <alignment horizontal="center"/>
    </xf>
    <xf numFmtId="9" fontId="0" fillId="13" borderId="16" xfId="4" applyFont="1" applyFill="1" applyBorder="1" applyAlignment="1">
      <alignment horizontal="center"/>
    </xf>
    <xf numFmtId="9" fontId="0" fillId="5" borderId="16" xfId="4" applyFont="1" applyFill="1" applyBorder="1" applyAlignment="1">
      <alignment horizontal="center"/>
    </xf>
    <xf numFmtId="9" fontId="0" fillId="6" borderId="16" xfId="4" applyFont="1" applyFill="1" applyBorder="1" applyAlignment="1">
      <alignment horizontal="center"/>
    </xf>
    <xf numFmtId="9" fontId="0" fillId="7" borderId="33" xfId="4" applyFont="1" applyFill="1" applyBorder="1" applyAlignment="1">
      <alignment horizontal="center"/>
    </xf>
    <xf numFmtId="9" fontId="0" fillId="3" borderId="17" xfId="4" applyFont="1" applyFill="1" applyBorder="1" applyAlignment="1">
      <alignment horizontal="center"/>
    </xf>
    <xf numFmtId="0" fontId="0" fillId="5" borderId="13" xfId="0" applyFill="1" applyBorder="1" applyAlignment="1">
      <alignment horizontal="center"/>
    </xf>
    <xf numFmtId="0" fontId="0" fillId="7" borderId="37" xfId="0" applyFill="1" applyBorder="1" applyAlignment="1">
      <alignment horizontal="center"/>
    </xf>
    <xf numFmtId="0" fontId="3" fillId="14" borderId="37" xfId="0" applyFont="1" applyFill="1" applyBorder="1" applyAlignment="1">
      <alignment horizontal="center"/>
    </xf>
    <xf numFmtId="9" fontId="3" fillId="14" borderId="33" xfId="4" applyFont="1" applyFill="1" applyBorder="1" applyAlignment="1">
      <alignment horizontal="center"/>
    </xf>
    <xf numFmtId="0" fontId="3" fillId="14" borderId="15" xfId="0" applyFont="1" applyFill="1" applyBorder="1"/>
    <xf numFmtId="0" fontId="3" fillId="14" borderId="15" xfId="0" applyFont="1" applyFill="1" applyBorder="1" applyAlignment="1">
      <alignment horizontal="center"/>
    </xf>
    <xf numFmtId="9" fontId="3" fillId="14" borderId="20" xfId="4" applyFont="1" applyFill="1" applyBorder="1" applyAlignment="1">
      <alignment horizontal="center"/>
    </xf>
    <xf numFmtId="0" fontId="0" fillId="14" borderId="37" xfId="0" applyFont="1" applyFill="1" applyBorder="1"/>
    <xf numFmtId="0" fontId="3" fillId="2" borderId="38" xfId="0" applyFont="1" applyFill="1" applyBorder="1" applyAlignment="1">
      <alignment horizontal="center"/>
    </xf>
    <xf numFmtId="0" fontId="3" fillId="2" borderId="39" xfId="0" applyFont="1" applyFill="1" applyBorder="1" applyAlignment="1">
      <alignment horizontal="center"/>
    </xf>
    <xf numFmtId="0" fontId="3" fillId="2" borderId="40" xfId="0" applyFont="1" applyFill="1" applyBorder="1" applyAlignment="1">
      <alignment horizontal="center"/>
    </xf>
    <xf numFmtId="0" fontId="3" fillId="2" borderId="41" xfId="0" applyFont="1" applyFill="1" applyBorder="1" applyAlignment="1">
      <alignment horizontal="center"/>
    </xf>
    <xf numFmtId="0" fontId="3" fillId="2" borderId="42" xfId="0" applyFont="1" applyFill="1" applyBorder="1" applyAlignment="1">
      <alignment horizontal="center"/>
    </xf>
    <xf numFmtId="0" fontId="0" fillId="0" borderId="43" xfId="0" applyBorder="1"/>
    <xf numFmtId="1" fontId="0" fillId="0" borderId="34" xfId="0" applyNumberFormat="1" applyFont="1" applyFill="1" applyBorder="1" applyAlignment="1">
      <alignment horizontal="center"/>
    </xf>
    <xf numFmtId="0" fontId="5" fillId="0" borderId="44" xfId="0" quotePrefix="1" applyFont="1" applyFill="1" applyBorder="1" applyAlignment="1">
      <alignment horizontal="center"/>
    </xf>
    <xf numFmtId="1" fontId="0" fillId="0" borderId="17" xfId="0" applyNumberFormat="1" applyFont="1" applyFill="1" applyBorder="1"/>
    <xf numFmtId="0" fontId="0" fillId="0" borderId="13" xfId="0" applyFill="1" applyBorder="1"/>
    <xf numFmtId="0" fontId="5" fillId="0" borderId="21" xfId="0" applyFont="1" applyBorder="1" applyAlignment="1">
      <alignment horizontal="center"/>
    </xf>
    <xf numFmtId="0" fontId="10" fillId="0" borderId="26" xfId="0" applyFont="1" applyBorder="1" applyAlignment="1">
      <alignment horizontal="center"/>
    </xf>
    <xf numFmtId="1" fontId="0" fillId="15" borderId="1" xfId="0" applyNumberFormat="1" applyFont="1" applyFill="1" applyBorder="1" applyAlignment="1">
      <alignment horizontal="center"/>
    </xf>
  </cellXfs>
  <cellStyles count="5">
    <cellStyle name="Comma 2" xfId="1" xr:uid="{00000000-0005-0000-0000-000000000000}"/>
    <cellStyle name="Normal" xfId="0" builtinId="0"/>
    <cellStyle name="Normal 2" xfId="2" xr:uid="{00000000-0005-0000-0000-000002000000}"/>
    <cellStyle name="Normal 4 3" xfId="3" xr:uid="{00000000-0005-0000-0000-000003000000}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5"/>
  <sheetViews>
    <sheetView topLeftCell="A52" workbookViewId="0">
      <selection sqref="A1:XFD1048576"/>
    </sheetView>
  </sheetViews>
  <sheetFormatPr defaultRowHeight="15" x14ac:dyDescent="0.25"/>
  <cols>
    <col min="1" max="1" width="3.42578125" bestFit="1" customWidth="1"/>
    <col min="2" max="2" width="17.5703125" customWidth="1"/>
    <col min="3" max="3" width="10.140625" customWidth="1"/>
    <col min="4" max="4" width="30.5703125" customWidth="1"/>
    <col min="5" max="5" width="75.140625" customWidth="1"/>
    <col min="6" max="6" width="50.140625" bestFit="1" customWidth="1"/>
    <col min="8" max="8" width="27.28515625" customWidth="1"/>
    <col min="9" max="9" width="10.85546875" customWidth="1"/>
    <col min="10" max="10" width="11" customWidth="1"/>
    <col min="11" max="11" width="11" bestFit="1" customWidth="1"/>
  </cols>
  <sheetData>
    <row r="1" spans="1:11" ht="16.5" thickBot="1" x14ac:dyDescent="0.3">
      <c r="A1" s="4"/>
      <c r="B1" s="5"/>
      <c r="C1" s="2"/>
      <c r="D1" s="5"/>
      <c r="E1" s="12" t="s">
        <v>227</v>
      </c>
      <c r="F1" s="6"/>
    </row>
    <row r="2" spans="1:11" ht="15.75" thickBot="1" x14ac:dyDescent="0.3">
      <c r="A2" s="68" t="s">
        <v>0</v>
      </c>
      <c r="B2" s="53" t="s">
        <v>1</v>
      </c>
      <c r="C2" s="52" t="s">
        <v>2</v>
      </c>
      <c r="D2" s="1" t="s">
        <v>121</v>
      </c>
      <c r="E2" s="10" t="s">
        <v>45</v>
      </c>
      <c r="F2" s="11" t="s">
        <v>102</v>
      </c>
      <c r="H2" s="44"/>
      <c r="I2" s="85" t="s">
        <v>110</v>
      </c>
      <c r="J2" s="41" t="s">
        <v>111</v>
      </c>
      <c r="K2" s="42" t="s">
        <v>120</v>
      </c>
    </row>
    <row r="3" spans="1:11" x14ac:dyDescent="0.25">
      <c r="A3" s="69">
        <v>1</v>
      </c>
      <c r="B3" s="81" t="s">
        <v>84</v>
      </c>
      <c r="C3" s="46" t="s">
        <v>66</v>
      </c>
      <c r="D3" s="50" t="s">
        <v>73</v>
      </c>
      <c r="E3" s="22"/>
      <c r="F3" s="23"/>
      <c r="H3" s="35" t="s">
        <v>112</v>
      </c>
      <c r="I3" s="86">
        <v>9</v>
      </c>
      <c r="J3" s="86">
        <v>2</v>
      </c>
      <c r="K3" s="94">
        <f t="shared" ref="K3:K10" si="0">((I3-J3)/I3)</f>
        <v>0.77777777777777779</v>
      </c>
    </row>
    <row r="4" spans="1:11" x14ac:dyDescent="0.25">
      <c r="A4" s="69">
        <v>2</v>
      </c>
      <c r="B4" s="72" t="s">
        <v>84</v>
      </c>
      <c r="C4" s="48" t="s">
        <v>67</v>
      </c>
      <c r="D4" s="34" t="s">
        <v>73</v>
      </c>
      <c r="E4" s="7"/>
      <c r="F4" s="9"/>
      <c r="H4" s="43" t="s">
        <v>117</v>
      </c>
      <c r="I4" s="87">
        <v>33</v>
      </c>
      <c r="J4" s="87">
        <v>1</v>
      </c>
      <c r="K4" s="95">
        <f t="shared" si="0"/>
        <v>0.96969696969696972</v>
      </c>
    </row>
    <row r="5" spans="1:11" x14ac:dyDescent="0.25">
      <c r="A5" s="69">
        <v>3</v>
      </c>
      <c r="B5" s="72" t="s">
        <v>103</v>
      </c>
      <c r="C5" s="48" t="s">
        <v>104</v>
      </c>
      <c r="D5" s="34" t="s">
        <v>73</v>
      </c>
      <c r="E5" s="7"/>
      <c r="F5" s="9"/>
      <c r="H5" s="43" t="s">
        <v>116</v>
      </c>
      <c r="I5" s="87">
        <v>2</v>
      </c>
      <c r="J5" s="87">
        <v>0</v>
      </c>
      <c r="K5" s="95">
        <f t="shared" si="0"/>
        <v>1</v>
      </c>
    </row>
    <row r="6" spans="1:11" x14ac:dyDescent="0.25">
      <c r="A6" s="69">
        <v>4</v>
      </c>
      <c r="B6" s="72" t="s">
        <v>105</v>
      </c>
      <c r="C6" s="48" t="s">
        <v>106</v>
      </c>
      <c r="D6" s="34" t="s">
        <v>73</v>
      </c>
      <c r="E6" s="7"/>
      <c r="F6" s="9"/>
      <c r="H6" s="43" t="s">
        <v>115</v>
      </c>
      <c r="I6" s="87">
        <v>2</v>
      </c>
      <c r="J6" s="87">
        <v>0</v>
      </c>
      <c r="K6" s="95">
        <f>((I6-J6)/I6)</f>
        <v>1</v>
      </c>
    </row>
    <row r="7" spans="1:11" x14ac:dyDescent="0.25">
      <c r="A7" s="69">
        <v>5</v>
      </c>
      <c r="B7" s="72" t="s">
        <v>86</v>
      </c>
      <c r="C7" s="48" t="s">
        <v>83</v>
      </c>
      <c r="D7" s="34" t="s">
        <v>73</v>
      </c>
      <c r="E7" s="7"/>
      <c r="F7" s="9"/>
      <c r="H7" s="36" t="s">
        <v>113</v>
      </c>
      <c r="I7" s="88">
        <v>4</v>
      </c>
      <c r="J7" s="88">
        <v>0</v>
      </c>
      <c r="K7" s="96">
        <f t="shared" si="0"/>
        <v>1</v>
      </c>
    </row>
    <row r="8" spans="1:11" x14ac:dyDescent="0.25">
      <c r="A8" s="69">
        <v>6</v>
      </c>
      <c r="B8" s="73" t="s">
        <v>87</v>
      </c>
      <c r="C8" s="47" t="s">
        <v>75</v>
      </c>
      <c r="D8" s="34" t="s">
        <v>73</v>
      </c>
      <c r="E8" s="20"/>
      <c r="F8" s="8"/>
      <c r="H8" s="37" t="s">
        <v>114</v>
      </c>
      <c r="I8" s="89">
        <v>1</v>
      </c>
      <c r="J8" s="89">
        <v>0</v>
      </c>
      <c r="K8" s="97">
        <f t="shared" si="0"/>
        <v>1</v>
      </c>
    </row>
    <row r="9" spans="1:11" x14ac:dyDescent="0.25">
      <c r="A9" s="69">
        <v>7</v>
      </c>
      <c r="B9" s="73" t="s">
        <v>8</v>
      </c>
      <c r="C9" s="47" t="s">
        <v>9</v>
      </c>
      <c r="D9" s="34" t="s">
        <v>73</v>
      </c>
      <c r="E9" s="20"/>
      <c r="F9" s="8"/>
      <c r="H9" s="38" t="s">
        <v>4</v>
      </c>
      <c r="I9" s="90">
        <v>3</v>
      </c>
      <c r="J9" s="102">
        <v>0</v>
      </c>
      <c r="K9" s="98">
        <f t="shared" si="0"/>
        <v>1</v>
      </c>
    </row>
    <row r="10" spans="1:11" x14ac:dyDescent="0.25">
      <c r="A10" s="69">
        <v>8</v>
      </c>
      <c r="B10" s="73" t="s">
        <v>88</v>
      </c>
      <c r="C10" s="47" t="s">
        <v>10</v>
      </c>
      <c r="D10" s="19" t="s">
        <v>74</v>
      </c>
      <c r="E10" s="7" t="s">
        <v>221</v>
      </c>
      <c r="F10" s="8" t="s">
        <v>216</v>
      </c>
      <c r="H10" s="39" t="s">
        <v>5</v>
      </c>
      <c r="I10" s="91">
        <v>1</v>
      </c>
      <c r="J10" s="91">
        <v>0</v>
      </c>
      <c r="K10" s="99">
        <f t="shared" si="0"/>
        <v>1</v>
      </c>
    </row>
    <row r="11" spans="1:11" x14ac:dyDescent="0.25">
      <c r="A11" s="69">
        <v>9</v>
      </c>
      <c r="B11" s="73" t="s">
        <v>76</v>
      </c>
      <c r="C11" s="47" t="s">
        <v>11</v>
      </c>
      <c r="D11" s="34" t="s">
        <v>73</v>
      </c>
      <c r="E11" s="7"/>
      <c r="F11" s="8"/>
      <c r="H11" s="40" t="s">
        <v>119</v>
      </c>
      <c r="I11" s="92">
        <v>1</v>
      </c>
      <c r="J11" s="103">
        <v>0</v>
      </c>
      <c r="K11" s="100">
        <f t="shared" ref="K11:K13" si="1">((I11-J11)/I11)</f>
        <v>1</v>
      </c>
    </row>
    <row r="12" spans="1:11" x14ac:dyDescent="0.25">
      <c r="A12" s="69">
        <v>10</v>
      </c>
      <c r="B12" s="74" t="s">
        <v>85</v>
      </c>
      <c r="C12" s="47" t="s">
        <v>12</v>
      </c>
      <c r="D12" s="34" t="s">
        <v>73</v>
      </c>
      <c r="E12" s="7"/>
      <c r="F12" s="9"/>
      <c r="H12" s="40" t="s">
        <v>118</v>
      </c>
      <c r="I12" s="92">
        <v>2</v>
      </c>
      <c r="J12" s="103">
        <v>0</v>
      </c>
      <c r="K12" s="100">
        <f t="shared" si="1"/>
        <v>1</v>
      </c>
    </row>
    <row r="13" spans="1:11" x14ac:dyDescent="0.25">
      <c r="A13" s="69">
        <v>11</v>
      </c>
      <c r="B13" s="73" t="s">
        <v>6</v>
      </c>
      <c r="C13" s="47" t="s">
        <v>13</v>
      </c>
      <c r="D13" s="34" t="s">
        <v>73</v>
      </c>
      <c r="E13" s="7"/>
      <c r="F13" s="9"/>
      <c r="H13" s="84" t="s">
        <v>3</v>
      </c>
      <c r="I13" s="93">
        <v>2</v>
      </c>
      <c r="J13" s="93">
        <v>0</v>
      </c>
      <c r="K13" s="101">
        <f t="shared" si="1"/>
        <v>1</v>
      </c>
    </row>
    <row r="14" spans="1:11" ht="15.75" thickBot="1" x14ac:dyDescent="0.3">
      <c r="A14" s="69">
        <v>12</v>
      </c>
      <c r="B14" s="73" t="s">
        <v>89</v>
      </c>
      <c r="C14" s="47" t="s">
        <v>14</v>
      </c>
      <c r="D14" s="34" t="s">
        <v>73</v>
      </c>
      <c r="E14" s="7"/>
      <c r="F14" s="9"/>
      <c r="H14" s="109" t="s">
        <v>218</v>
      </c>
      <c r="I14" s="104">
        <v>5</v>
      </c>
      <c r="J14" s="104">
        <v>1</v>
      </c>
      <c r="K14" s="105">
        <f>((I14-J14)/I14)</f>
        <v>0.8</v>
      </c>
    </row>
    <row r="15" spans="1:11" ht="15.75" thickBot="1" x14ac:dyDescent="0.3">
      <c r="A15" s="69">
        <v>13</v>
      </c>
      <c r="B15" s="73" t="s">
        <v>77</v>
      </c>
      <c r="C15" s="47" t="s">
        <v>15</v>
      </c>
      <c r="D15" s="34" t="s">
        <v>73</v>
      </c>
      <c r="E15" s="7" t="s">
        <v>229</v>
      </c>
      <c r="F15" s="9"/>
      <c r="G15" s="83"/>
      <c r="H15" s="106" t="s">
        <v>122</v>
      </c>
      <c r="I15" s="107">
        <f>SUM(I3:I14)</f>
        <v>65</v>
      </c>
      <c r="J15" s="107">
        <f>SUM(J3:J14)</f>
        <v>4</v>
      </c>
      <c r="K15" s="108">
        <f>((I15-J15)/I15)</f>
        <v>0.93846153846153846</v>
      </c>
    </row>
    <row r="16" spans="1:11" x14ac:dyDescent="0.25">
      <c r="A16" s="69">
        <v>14</v>
      </c>
      <c r="B16" s="72" t="s">
        <v>84</v>
      </c>
      <c r="C16" s="47" t="s">
        <v>16</v>
      </c>
      <c r="D16" s="34" t="s">
        <v>73</v>
      </c>
      <c r="E16" s="7"/>
      <c r="F16" s="9"/>
    </row>
    <row r="17" spans="1:6" x14ac:dyDescent="0.25">
      <c r="A17" s="69">
        <v>15</v>
      </c>
      <c r="B17" s="74" t="s">
        <v>85</v>
      </c>
      <c r="C17" s="47" t="s">
        <v>21</v>
      </c>
      <c r="D17" s="34" t="s">
        <v>73</v>
      </c>
      <c r="E17" s="7"/>
      <c r="F17" s="9"/>
    </row>
    <row r="18" spans="1:6" x14ac:dyDescent="0.25">
      <c r="A18" s="69">
        <v>16</v>
      </c>
      <c r="B18" s="73" t="s">
        <v>79</v>
      </c>
      <c r="C18" s="47" t="s">
        <v>22</v>
      </c>
      <c r="D18" s="34" t="s">
        <v>73</v>
      </c>
      <c r="E18" s="7"/>
      <c r="F18" s="9"/>
    </row>
    <row r="19" spans="1:6" x14ac:dyDescent="0.25">
      <c r="A19" s="69">
        <v>17</v>
      </c>
      <c r="B19" s="74" t="s">
        <v>85</v>
      </c>
      <c r="C19" s="47" t="s">
        <v>46</v>
      </c>
      <c r="D19" s="34" t="s">
        <v>73</v>
      </c>
      <c r="E19" s="7"/>
      <c r="F19" s="9"/>
    </row>
    <row r="20" spans="1:6" x14ac:dyDescent="0.25">
      <c r="A20" s="69">
        <v>18</v>
      </c>
      <c r="B20" s="73" t="s">
        <v>90</v>
      </c>
      <c r="C20" s="47" t="s">
        <v>38</v>
      </c>
      <c r="D20" s="34" t="s">
        <v>73</v>
      </c>
      <c r="E20" s="7"/>
      <c r="F20" s="9"/>
    </row>
    <row r="21" spans="1:6" x14ac:dyDescent="0.25">
      <c r="A21" s="69">
        <v>19</v>
      </c>
      <c r="B21" s="73" t="s">
        <v>91</v>
      </c>
      <c r="C21" s="47" t="s">
        <v>44</v>
      </c>
      <c r="D21" s="34" t="s">
        <v>73</v>
      </c>
      <c r="E21" s="7"/>
      <c r="F21" s="9"/>
    </row>
    <row r="22" spans="1:6" x14ac:dyDescent="0.25">
      <c r="A22" s="69">
        <v>20</v>
      </c>
      <c r="B22" s="73" t="s">
        <v>77</v>
      </c>
      <c r="C22" s="47" t="s">
        <v>37</v>
      </c>
      <c r="D22" s="34" t="s">
        <v>73</v>
      </c>
      <c r="E22" s="7"/>
      <c r="F22" s="9"/>
    </row>
    <row r="23" spans="1:6" x14ac:dyDescent="0.25">
      <c r="A23" s="69">
        <v>21</v>
      </c>
      <c r="B23" s="73" t="s">
        <v>92</v>
      </c>
      <c r="C23" s="47" t="s">
        <v>39</v>
      </c>
      <c r="D23" s="34" t="s">
        <v>73</v>
      </c>
      <c r="E23" s="7"/>
      <c r="F23" s="9"/>
    </row>
    <row r="24" spans="1:6" x14ac:dyDescent="0.25">
      <c r="A24" s="69">
        <v>22</v>
      </c>
      <c r="B24" s="73" t="s">
        <v>97</v>
      </c>
      <c r="C24" s="47" t="s">
        <v>42</v>
      </c>
      <c r="D24" s="34" t="s">
        <v>73</v>
      </c>
      <c r="E24" s="7"/>
      <c r="F24" s="9"/>
    </row>
    <row r="25" spans="1:6" x14ac:dyDescent="0.25">
      <c r="A25" s="69">
        <v>23</v>
      </c>
      <c r="B25" s="73" t="s">
        <v>93</v>
      </c>
      <c r="C25" s="47" t="s">
        <v>43</v>
      </c>
      <c r="D25" s="34" t="s">
        <v>73</v>
      </c>
      <c r="E25" s="7"/>
      <c r="F25" s="9"/>
    </row>
    <row r="26" spans="1:6" x14ac:dyDescent="0.25">
      <c r="A26" s="69">
        <v>24</v>
      </c>
      <c r="B26" s="73" t="s">
        <v>123</v>
      </c>
      <c r="C26" s="47" t="s">
        <v>40</v>
      </c>
      <c r="D26" s="34" t="s">
        <v>73</v>
      </c>
      <c r="E26" s="7"/>
      <c r="F26" s="9"/>
    </row>
    <row r="27" spans="1:6" x14ac:dyDescent="0.25">
      <c r="A27" s="69">
        <v>25</v>
      </c>
      <c r="B27" s="73" t="s">
        <v>78</v>
      </c>
      <c r="C27" s="47" t="s">
        <v>41</v>
      </c>
      <c r="D27" s="34" t="s">
        <v>73</v>
      </c>
      <c r="E27" s="7"/>
      <c r="F27" s="9"/>
    </row>
    <row r="28" spans="1:6" x14ac:dyDescent="0.25">
      <c r="A28" s="69">
        <v>26</v>
      </c>
      <c r="B28" s="73" t="s">
        <v>80</v>
      </c>
      <c r="C28" s="47" t="s">
        <v>47</v>
      </c>
      <c r="D28" s="34" t="s">
        <v>73</v>
      </c>
      <c r="E28" s="7"/>
      <c r="F28" s="9"/>
    </row>
    <row r="29" spans="1:6" x14ac:dyDescent="0.25">
      <c r="A29" s="69">
        <v>27</v>
      </c>
      <c r="B29" s="73" t="s">
        <v>94</v>
      </c>
      <c r="C29" s="47" t="s">
        <v>48</v>
      </c>
      <c r="D29" s="34" t="s">
        <v>73</v>
      </c>
      <c r="E29" s="7"/>
      <c r="F29" s="9"/>
    </row>
    <row r="30" spans="1:6" x14ac:dyDescent="0.25">
      <c r="A30" s="69">
        <v>28</v>
      </c>
      <c r="B30" s="73" t="s">
        <v>78</v>
      </c>
      <c r="C30" s="47" t="s">
        <v>49</v>
      </c>
      <c r="D30" s="34" t="s">
        <v>73</v>
      </c>
      <c r="E30" s="7"/>
      <c r="F30" s="9"/>
    </row>
    <row r="31" spans="1:6" x14ac:dyDescent="0.25">
      <c r="A31" s="69">
        <v>29</v>
      </c>
      <c r="B31" s="73" t="s">
        <v>92</v>
      </c>
      <c r="C31" s="47" t="s">
        <v>50</v>
      </c>
      <c r="D31" s="34" t="s">
        <v>73</v>
      </c>
      <c r="E31" s="7" t="s">
        <v>228</v>
      </c>
      <c r="F31" s="9"/>
    </row>
    <row r="32" spans="1:6" x14ac:dyDescent="0.25">
      <c r="A32" s="69">
        <v>30</v>
      </c>
      <c r="B32" s="73" t="s">
        <v>90</v>
      </c>
      <c r="C32" s="47" t="s">
        <v>51</v>
      </c>
      <c r="D32" s="34" t="s">
        <v>73</v>
      </c>
      <c r="E32" s="7"/>
      <c r="F32" s="9"/>
    </row>
    <row r="33" spans="1:6" x14ac:dyDescent="0.25">
      <c r="A33" s="69">
        <v>31</v>
      </c>
      <c r="B33" s="74" t="s">
        <v>85</v>
      </c>
      <c r="C33" s="47" t="s">
        <v>52</v>
      </c>
      <c r="D33" s="34" t="s">
        <v>73</v>
      </c>
      <c r="E33" s="7"/>
      <c r="F33" s="9"/>
    </row>
    <row r="34" spans="1:6" x14ac:dyDescent="0.25">
      <c r="A34" s="69">
        <v>32</v>
      </c>
      <c r="B34" s="72" t="s">
        <v>84</v>
      </c>
      <c r="C34" s="47" t="s">
        <v>53</v>
      </c>
      <c r="D34" s="34" t="s">
        <v>73</v>
      </c>
      <c r="E34" s="7"/>
      <c r="F34" s="9"/>
    </row>
    <row r="35" spans="1:6" x14ac:dyDescent="0.25">
      <c r="A35" s="69">
        <v>33</v>
      </c>
      <c r="B35" s="73" t="s">
        <v>79</v>
      </c>
      <c r="C35" s="47" t="s">
        <v>54</v>
      </c>
      <c r="D35" s="34" t="s">
        <v>73</v>
      </c>
      <c r="E35" s="7"/>
      <c r="F35" s="9"/>
    </row>
    <row r="36" spans="1:6" x14ac:dyDescent="0.25">
      <c r="A36" s="69">
        <v>34</v>
      </c>
      <c r="B36" s="74" t="s">
        <v>85</v>
      </c>
      <c r="C36" s="47" t="s">
        <v>55</v>
      </c>
      <c r="D36" s="34" t="s">
        <v>73</v>
      </c>
      <c r="E36" s="7"/>
      <c r="F36" s="9"/>
    </row>
    <row r="37" spans="1:6" x14ac:dyDescent="0.25">
      <c r="A37" s="69">
        <v>35</v>
      </c>
      <c r="B37" s="73" t="s">
        <v>78</v>
      </c>
      <c r="C37" s="47" t="s">
        <v>56</v>
      </c>
      <c r="D37" s="34" t="s">
        <v>73</v>
      </c>
      <c r="E37" s="7"/>
      <c r="F37" s="8"/>
    </row>
    <row r="38" spans="1:6" x14ac:dyDescent="0.25">
      <c r="A38" s="69">
        <v>36</v>
      </c>
      <c r="B38" s="73" t="s">
        <v>92</v>
      </c>
      <c r="C38" s="47" t="s">
        <v>57</v>
      </c>
      <c r="D38" s="34" t="s">
        <v>73</v>
      </c>
      <c r="E38" s="7"/>
      <c r="F38" s="9"/>
    </row>
    <row r="39" spans="1:6" x14ac:dyDescent="0.25">
      <c r="A39" s="69">
        <v>37</v>
      </c>
      <c r="B39" s="73" t="s">
        <v>88</v>
      </c>
      <c r="C39" s="47" t="s">
        <v>58</v>
      </c>
      <c r="D39" s="34" t="s">
        <v>73</v>
      </c>
      <c r="E39" s="7" t="s">
        <v>230</v>
      </c>
      <c r="F39" s="9"/>
    </row>
    <row r="40" spans="1:6" x14ac:dyDescent="0.25">
      <c r="A40" s="69">
        <v>38</v>
      </c>
      <c r="B40" s="72" t="s">
        <v>84</v>
      </c>
      <c r="C40" s="47" t="s">
        <v>59</v>
      </c>
      <c r="D40" s="19" t="s">
        <v>74</v>
      </c>
      <c r="E40" s="7" t="s">
        <v>224</v>
      </c>
      <c r="F40" s="9"/>
    </row>
    <row r="41" spans="1:6" x14ac:dyDescent="0.25">
      <c r="A41" s="69">
        <v>39</v>
      </c>
      <c r="B41" s="72" t="s">
        <v>98</v>
      </c>
      <c r="C41" s="47" t="s">
        <v>99</v>
      </c>
      <c r="D41" s="34" t="s">
        <v>73</v>
      </c>
      <c r="E41" s="7"/>
      <c r="F41" s="9"/>
    </row>
    <row r="42" spans="1:6" x14ac:dyDescent="0.25">
      <c r="A42" s="69">
        <v>40</v>
      </c>
      <c r="B42" s="73" t="s">
        <v>8</v>
      </c>
      <c r="C42" s="47" t="s">
        <v>62</v>
      </c>
      <c r="D42" s="34" t="s">
        <v>73</v>
      </c>
      <c r="E42" s="7" t="s">
        <v>231</v>
      </c>
      <c r="F42" s="9"/>
    </row>
    <row r="43" spans="1:6" x14ac:dyDescent="0.25">
      <c r="A43" s="69">
        <v>41</v>
      </c>
      <c r="B43" s="73" t="s">
        <v>93</v>
      </c>
      <c r="C43" s="47" t="s">
        <v>63</v>
      </c>
      <c r="D43" s="34" t="s">
        <v>73</v>
      </c>
      <c r="E43" s="7"/>
      <c r="F43" s="9"/>
    </row>
    <row r="44" spans="1:6" x14ac:dyDescent="0.25">
      <c r="A44" s="69">
        <v>42</v>
      </c>
      <c r="B44" s="73" t="s">
        <v>77</v>
      </c>
      <c r="C44" s="47" t="s">
        <v>65</v>
      </c>
      <c r="D44" s="34" t="s">
        <v>73</v>
      </c>
      <c r="E44" s="7" t="s">
        <v>232</v>
      </c>
      <c r="F44" s="9"/>
    </row>
    <row r="45" spans="1:6" x14ac:dyDescent="0.25">
      <c r="A45" s="69">
        <v>43</v>
      </c>
      <c r="B45" s="73" t="s">
        <v>95</v>
      </c>
      <c r="C45" s="47" t="s">
        <v>60</v>
      </c>
      <c r="D45" s="34" t="s">
        <v>73</v>
      </c>
      <c r="E45" s="7"/>
      <c r="F45" s="9"/>
    </row>
    <row r="46" spans="1:6" x14ac:dyDescent="0.25">
      <c r="A46" s="69">
        <v>44</v>
      </c>
      <c r="B46" s="73" t="s">
        <v>96</v>
      </c>
      <c r="C46" s="47" t="s">
        <v>61</v>
      </c>
      <c r="D46" s="34" t="s">
        <v>73</v>
      </c>
      <c r="E46" s="7"/>
      <c r="F46" s="9"/>
    </row>
    <row r="47" spans="1:6" x14ac:dyDescent="0.25">
      <c r="A47" s="69">
        <v>45</v>
      </c>
      <c r="B47" s="73" t="s">
        <v>91</v>
      </c>
      <c r="C47" s="47" t="s">
        <v>64</v>
      </c>
      <c r="D47" s="34" t="s">
        <v>73</v>
      </c>
      <c r="E47" s="7"/>
      <c r="F47" s="9"/>
    </row>
    <row r="48" spans="1:6" x14ac:dyDescent="0.25">
      <c r="A48" s="69">
        <v>46</v>
      </c>
      <c r="B48" s="73" t="s">
        <v>88</v>
      </c>
      <c r="C48" s="47" t="s">
        <v>23</v>
      </c>
      <c r="D48" s="34" t="s">
        <v>73</v>
      </c>
      <c r="E48" s="7" t="s">
        <v>235</v>
      </c>
      <c r="F48" s="9"/>
    </row>
    <row r="49" spans="1:6" x14ac:dyDescent="0.25">
      <c r="A49" s="69">
        <v>47</v>
      </c>
      <c r="B49" s="73" t="s">
        <v>81</v>
      </c>
      <c r="C49" s="47" t="s">
        <v>24</v>
      </c>
      <c r="D49" s="34" t="s">
        <v>73</v>
      </c>
      <c r="E49" s="7"/>
      <c r="F49" s="9"/>
    </row>
    <row r="50" spans="1:6" x14ac:dyDescent="0.25">
      <c r="A50" s="69">
        <v>48</v>
      </c>
      <c r="B50" s="73" t="s">
        <v>81</v>
      </c>
      <c r="C50" s="47" t="s">
        <v>25</v>
      </c>
      <c r="D50" s="34" t="s">
        <v>73</v>
      </c>
      <c r="E50" s="7"/>
      <c r="F50" s="9"/>
    </row>
    <row r="51" spans="1:6" x14ac:dyDescent="0.25">
      <c r="A51" s="69">
        <v>49</v>
      </c>
      <c r="B51" s="74" t="s">
        <v>100</v>
      </c>
      <c r="C51" s="47" t="s">
        <v>26</v>
      </c>
      <c r="D51" s="19" t="s">
        <v>74</v>
      </c>
      <c r="E51" s="7" t="s">
        <v>225</v>
      </c>
      <c r="F51" s="9"/>
    </row>
    <row r="52" spans="1:6" x14ac:dyDescent="0.25">
      <c r="A52" s="69">
        <v>50</v>
      </c>
      <c r="B52" s="74" t="s">
        <v>100</v>
      </c>
      <c r="C52" s="47" t="s">
        <v>27</v>
      </c>
      <c r="D52" s="34" t="s">
        <v>73</v>
      </c>
      <c r="E52" s="21"/>
      <c r="F52" s="9"/>
    </row>
    <row r="53" spans="1:6" x14ac:dyDescent="0.25">
      <c r="A53" s="69">
        <v>51</v>
      </c>
      <c r="B53" s="74" t="s">
        <v>100</v>
      </c>
      <c r="C53" s="47" t="s">
        <v>28</v>
      </c>
      <c r="D53" s="34" t="s">
        <v>73</v>
      </c>
      <c r="E53" s="7"/>
      <c r="F53" s="9"/>
    </row>
    <row r="54" spans="1:6" x14ac:dyDescent="0.25">
      <c r="A54" s="69">
        <v>52</v>
      </c>
      <c r="B54" s="74" t="s">
        <v>100</v>
      </c>
      <c r="C54" s="47" t="s">
        <v>29</v>
      </c>
      <c r="D54" s="34" t="s">
        <v>73</v>
      </c>
      <c r="E54" s="21"/>
      <c r="F54" s="9"/>
    </row>
    <row r="55" spans="1:6" x14ac:dyDescent="0.25">
      <c r="A55" s="69">
        <v>53</v>
      </c>
      <c r="B55" s="74" t="s">
        <v>100</v>
      </c>
      <c r="C55" s="49" t="s">
        <v>30</v>
      </c>
      <c r="D55" s="34" t="s">
        <v>73</v>
      </c>
      <c r="E55" s="7" t="s">
        <v>233</v>
      </c>
      <c r="F55" s="9"/>
    </row>
    <row r="56" spans="1:6" x14ac:dyDescent="0.25">
      <c r="A56" s="69">
        <v>54</v>
      </c>
      <c r="B56" s="72" t="s">
        <v>84</v>
      </c>
      <c r="C56" s="49" t="s">
        <v>31</v>
      </c>
      <c r="D56" s="34" t="s">
        <v>73</v>
      </c>
      <c r="E56" s="7"/>
      <c r="F56" s="9"/>
    </row>
    <row r="57" spans="1:6" x14ac:dyDescent="0.25">
      <c r="A57" s="69">
        <v>55</v>
      </c>
      <c r="B57" s="74" t="s">
        <v>85</v>
      </c>
      <c r="C57" s="49" t="s">
        <v>32</v>
      </c>
      <c r="D57" s="34" t="s">
        <v>73</v>
      </c>
      <c r="E57" s="7" t="s">
        <v>234</v>
      </c>
      <c r="F57" s="9"/>
    </row>
    <row r="58" spans="1:6" x14ac:dyDescent="0.25">
      <c r="A58" s="69">
        <v>56</v>
      </c>
      <c r="B58" s="74" t="s">
        <v>123</v>
      </c>
      <c r="C58" s="49" t="s">
        <v>33</v>
      </c>
      <c r="D58" s="34" t="s">
        <v>73</v>
      </c>
      <c r="E58" s="7"/>
      <c r="F58" s="9"/>
    </row>
    <row r="59" spans="1:6" x14ac:dyDescent="0.25">
      <c r="A59" s="69">
        <v>57</v>
      </c>
      <c r="B59" s="74" t="s">
        <v>82</v>
      </c>
      <c r="C59" s="49" t="s">
        <v>34</v>
      </c>
      <c r="D59" s="34" t="s">
        <v>73</v>
      </c>
      <c r="E59" s="7"/>
      <c r="F59" s="9"/>
    </row>
    <row r="60" spans="1:6" x14ac:dyDescent="0.25">
      <c r="A60" s="69">
        <v>58</v>
      </c>
      <c r="B60" s="74" t="s">
        <v>82</v>
      </c>
      <c r="C60" s="49" t="s">
        <v>35</v>
      </c>
      <c r="D60" s="34" t="s">
        <v>73</v>
      </c>
      <c r="E60" s="7"/>
      <c r="F60" s="9"/>
    </row>
    <row r="61" spans="1:6" x14ac:dyDescent="0.25">
      <c r="A61" s="69">
        <v>59</v>
      </c>
      <c r="B61" s="74" t="s">
        <v>107</v>
      </c>
      <c r="C61" s="49" t="s">
        <v>36</v>
      </c>
      <c r="D61" s="34" t="s">
        <v>73</v>
      </c>
      <c r="E61" s="3"/>
      <c r="F61" s="8"/>
    </row>
    <row r="62" spans="1:6" x14ac:dyDescent="0.25">
      <c r="A62" s="69">
        <v>60</v>
      </c>
      <c r="B62" s="74" t="s">
        <v>100</v>
      </c>
      <c r="C62" s="49" t="s">
        <v>68</v>
      </c>
      <c r="D62" s="34" t="s">
        <v>73</v>
      </c>
      <c r="E62" s="7"/>
      <c r="F62" s="9"/>
    </row>
    <row r="63" spans="1:6" x14ac:dyDescent="0.25">
      <c r="A63" s="70">
        <v>61</v>
      </c>
      <c r="B63" s="74" t="s">
        <v>100</v>
      </c>
      <c r="C63" s="49" t="s">
        <v>108</v>
      </c>
      <c r="D63" s="34" t="s">
        <v>73</v>
      </c>
      <c r="E63" s="7"/>
      <c r="F63" s="9"/>
    </row>
    <row r="64" spans="1:6" x14ac:dyDescent="0.25">
      <c r="A64" s="71">
        <v>62</v>
      </c>
      <c r="B64" s="74" t="s">
        <v>212</v>
      </c>
      <c r="C64" s="64" t="s">
        <v>124</v>
      </c>
      <c r="D64" s="65" t="s">
        <v>73</v>
      </c>
      <c r="E64" s="66"/>
      <c r="F64" s="67"/>
    </row>
    <row r="65" spans="1:6" x14ac:dyDescent="0.25">
      <c r="A65" s="70">
        <v>63</v>
      </c>
      <c r="B65" s="75" t="s">
        <v>77</v>
      </c>
      <c r="C65" s="49" t="s">
        <v>214</v>
      </c>
      <c r="D65" s="76" t="s">
        <v>73</v>
      </c>
      <c r="E65" s="7"/>
      <c r="F65" s="9"/>
    </row>
    <row r="66" spans="1:6" x14ac:dyDescent="0.25">
      <c r="A66" s="70">
        <v>64</v>
      </c>
      <c r="B66" s="74" t="s">
        <v>84</v>
      </c>
      <c r="C66" s="49" t="s">
        <v>215</v>
      </c>
      <c r="D66" s="76" t="s">
        <v>73</v>
      </c>
      <c r="E66" s="7"/>
      <c r="F66" s="9"/>
    </row>
    <row r="67" spans="1:6" ht="15.75" thickBot="1" x14ac:dyDescent="0.3">
      <c r="A67" s="78">
        <v>65</v>
      </c>
      <c r="B67" s="82" t="s">
        <v>87</v>
      </c>
      <c r="C67" s="79" t="s">
        <v>217</v>
      </c>
      <c r="D67" s="77" t="s">
        <v>73</v>
      </c>
      <c r="E67" s="51"/>
      <c r="F67" s="80"/>
    </row>
    <row r="68" spans="1:6" x14ac:dyDescent="0.25">
      <c r="A68" s="45"/>
      <c r="B68" s="30"/>
      <c r="C68" s="31"/>
      <c r="D68" s="31"/>
      <c r="E68" s="32"/>
      <c r="F68" s="33"/>
    </row>
    <row r="70" spans="1:6" x14ac:dyDescent="0.25">
      <c r="B70" s="27" t="s">
        <v>69</v>
      </c>
      <c r="C70" s="28"/>
      <c r="D70" s="13"/>
    </row>
    <row r="71" spans="1:6" x14ac:dyDescent="0.25">
      <c r="B71" s="14"/>
      <c r="C71" s="15"/>
      <c r="D71" s="16"/>
    </row>
    <row r="72" spans="1:6" x14ac:dyDescent="0.25">
      <c r="B72" s="17" t="s">
        <v>70</v>
      </c>
      <c r="C72" s="26" t="s">
        <v>223</v>
      </c>
      <c r="D72" s="16"/>
    </row>
    <row r="73" spans="1:6" x14ac:dyDescent="0.25">
      <c r="B73" s="17" t="s">
        <v>71</v>
      </c>
      <c r="C73" s="26" t="s">
        <v>219</v>
      </c>
      <c r="D73" s="15" t="s">
        <v>220</v>
      </c>
    </row>
    <row r="74" spans="1:6" x14ac:dyDescent="0.25">
      <c r="B74" s="17" t="s">
        <v>72</v>
      </c>
      <c r="C74" s="25" t="s">
        <v>222</v>
      </c>
      <c r="D74" s="29" t="s">
        <v>226</v>
      </c>
    </row>
    <row r="75" spans="1:6" x14ac:dyDescent="0.25">
      <c r="B75" s="18" t="s">
        <v>109</v>
      </c>
      <c r="C75" s="24" t="s">
        <v>213</v>
      </c>
      <c r="D75" s="29"/>
      <c r="E75" s="13"/>
    </row>
  </sheetData>
  <sortState xmlns:xlrd2="http://schemas.microsoft.com/office/spreadsheetml/2017/richdata2" ref="A3:F63">
    <sortCondition ref="A2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6"/>
  <sheetViews>
    <sheetView topLeftCell="A49" workbookViewId="0">
      <selection sqref="A1:XFD1048576"/>
    </sheetView>
  </sheetViews>
  <sheetFormatPr defaultRowHeight="15" x14ac:dyDescent="0.25"/>
  <cols>
    <col min="1" max="1" width="3.42578125" bestFit="1" customWidth="1"/>
    <col min="2" max="2" width="17.5703125" customWidth="1"/>
    <col min="3" max="3" width="10.140625" customWidth="1"/>
    <col min="4" max="4" width="30.5703125" customWidth="1"/>
    <col min="5" max="5" width="75.140625" customWidth="1"/>
    <col min="6" max="6" width="50.140625" bestFit="1" customWidth="1"/>
    <col min="8" max="8" width="27.28515625" customWidth="1"/>
    <col min="9" max="9" width="10.85546875" customWidth="1"/>
    <col min="10" max="10" width="11" customWidth="1"/>
    <col min="11" max="11" width="11" bestFit="1" customWidth="1"/>
  </cols>
  <sheetData>
    <row r="1" spans="1:11" ht="16.5" thickBot="1" x14ac:dyDescent="0.3">
      <c r="A1" s="4"/>
      <c r="B1" s="5"/>
      <c r="C1" s="2"/>
      <c r="D1" s="5"/>
      <c r="E1" s="12" t="s">
        <v>254</v>
      </c>
      <c r="F1" s="6"/>
    </row>
    <row r="2" spans="1:11" ht="15.75" thickBot="1" x14ac:dyDescent="0.3">
      <c r="A2" s="68" t="s">
        <v>0</v>
      </c>
      <c r="B2" s="110" t="s">
        <v>1</v>
      </c>
      <c r="C2" s="111" t="s">
        <v>2</v>
      </c>
      <c r="D2" s="112" t="s">
        <v>121</v>
      </c>
      <c r="E2" s="113" t="s">
        <v>45</v>
      </c>
      <c r="F2" s="114" t="s">
        <v>102</v>
      </c>
      <c r="H2" s="44"/>
      <c r="I2" s="85" t="s">
        <v>110</v>
      </c>
      <c r="J2" s="41" t="s">
        <v>111</v>
      </c>
      <c r="K2" s="42" t="s">
        <v>120</v>
      </c>
    </row>
    <row r="3" spans="1:11" x14ac:dyDescent="0.25">
      <c r="A3" s="115">
        <v>1</v>
      </c>
      <c r="B3" s="81" t="s">
        <v>84</v>
      </c>
      <c r="C3" s="46" t="s">
        <v>66</v>
      </c>
      <c r="D3" s="50" t="s">
        <v>73</v>
      </c>
      <c r="E3" s="22"/>
      <c r="F3" s="23"/>
      <c r="H3" s="35" t="s">
        <v>112</v>
      </c>
      <c r="I3" s="86">
        <v>9</v>
      </c>
      <c r="J3" s="86">
        <v>2</v>
      </c>
      <c r="K3" s="94">
        <f t="shared" ref="K3:K13" si="0">((I3-J3)/I3)</f>
        <v>0.77777777777777779</v>
      </c>
    </row>
    <row r="4" spans="1:11" x14ac:dyDescent="0.25">
      <c r="A4" s="69">
        <v>2</v>
      </c>
      <c r="B4" s="72" t="s">
        <v>84</v>
      </c>
      <c r="C4" s="48" t="s">
        <v>67</v>
      </c>
      <c r="D4" s="34" t="s">
        <v>73</v>
      </c>
      <c r="E4" s="7"/>
      <c r="F4" s="9"/>
      <c r="H4" s="43" t="s">
        <v>117</v>
      </c>
      <c r="I4" s="87">
        <v>33</v>
      </c>
      <c r="J4" s="87">
        <v>4</v>
      </c>
      <c r="K4" s="95">
        <f t="shared" si="0"/>
        <v>0.87878787878787878</v>
      </c>
    </row>
    <row r="5" spans="1:11" x14ac:dyDescent="0.25">
      <c r="A5" s="69">
        <v>3</v>
      </c>
      <c r="B5" s="72" t="s">
        <v>103</v>
      </c>
      <c r="C5" s="48" t="s">
        <v>104</v>
      </c>
      <c r="D5" s="34" t="s">
        <v>73</v>
      </c>
      <c r="E5" s="7"/>
      <c r="F5" s="9"/>
      <c r="H5" s="43" t="s">
        <v>116</v>
      </c>
      <c r="I5" s="87">
        <v>2</v>
      </c>
      <c r="J5" s="87">
        <v>0</v>
      </c>
      <c r="K5" s="95">
        <f t="shared" si="0"/>
        <v>1</v>
      </c>
    </row>
    <row r="6" spans="1:11" x14ac:dyDescent="0.25">
      <c r="A6" s="69">
        <v>4</v>
      </c>
      <c r="B6" s="72" t="s">
        <v>105</v>
      </c>
      <c r="C6" s="48" t="s">
        <v>106</v>
      </c>
      <c r="D6" s="34" t="s">
        <v>73</v>
      </c>
      <c r="E6" s="7"/>
      <c r="F6" s="9"/>
      <c r="H6" s="43" t="s">
        <v>115</v>
      </c>
      <c r="I6" s="87">
        <v>2</v>
      </c>
      <c r="J6" s="87">
        <v>0</v>
      </c>
      <c r="K6" s="95">
        <f>((I6-J6)/I6)</f>
        <v>1</v>
      </c>
    </row>
    <row r="7" spans="1:11" x14ac:dyDescent="0.25">
      <c r="A7" s="69">
        <v>5</v>
      </c>
      <c r="B7" s="72" t="s">
        <v>86</v>
      </c>
      <c r="C7" s="48" t="s">
        <v>83</v>
      </c>
      <c r="D7" s="34" t="s">
        <v>73</v>
      </c>
      <c r="E7" s="7"/>
      <c r="F7" s="9"/>
      <c r="H7" s="36" t="s">
        <v>113</v>
      </c>
      <c r="I7" s="88">
        <v>4</v>
      </c>
      <c r="J7" s="88">
        <v>0</v>
      </c>
      <c r="K7" s="96">
        <f t="shared" si="0"/>
        <v>1</v>
      </c>
    </row>
    <row r="8" spans="1:11" x14ac:dyDescent="0.25">
      <c r="A8" s="69">
        <v>6</v>
      </c>
      <c r="B8" s="73" t="s">
        <v>87</v>
      </c>
      <c r="C8" s="47" t="s">
        <v>75</v>
      </c>
      <c r="D8" s="34" t="s">
        <v>73</v>
      </c>
      <c r="E8" s="20"/>
      <c r="F8" s="8"/>
      <c r="H8" s="37" t="s">
        <v>114</v>
      </c>
      <c r="I8" s="89">
        <v>1</v>
      </c>
      <c r="J8" s="89">
        <v>0</v>
      </c>
      <c r="K8" s="97">
        <f t="shared" si="0"/>
        <v>1</v>
      </c>
    </row>
    <row r="9" spans="1:11" x14ac:dyDescent="0.25">
      <c r="A9" s="69">
        <v>7</v>
      </c>
      <c r="B9" s="73" t="s">
        <v>8</v>
      </c>
      <c r="C9" s="47" t="s">
        <v>9</v>
      </c>
      <c r="D9" s="34" t="s">
        <v>73</v>
      </c>
      <c r="E9" s="20"/>
      <c r="F9" s="8"/>
      <c r="H9" s="38" t="s">
        <v>4</v>
      </c>
      <c r="I9" s="90">
        <v>3</v>
      </c>
      <c r="J9" s="102">
        <v>0</v>
      </c>
      <c r="K9" s="98">
        <f t="shared" si="0"/>
        <v>1</v>
      </c>
    </row>
    <row r="10" spans="1:11" x14ac:dyDescent="0.25">
      <c r="A10" s="69">
        <v>8</v>
      </c>
      <c r="B10" s="73" t="s">
        <v>88</v>
      </c>
      <c r="C10" s="47" t="s">
        <v>10</v>
      </c>
      <c r="D10" s="19" t="s">
        <v>74</v>
      </c>
      <c r="E10" s="7" t="s">
        <v>221</v>
      </c>
      <c r="F10" s="8" t="s">
        <v>216</v>
      </c>
      <c r="H10" s="39" t="s">
        <v>5</v>
      </c>
      <c r="I10" s="91">
        <v>1</v>
      </c>
      <c r="J10" s="91">
        <v>0</v>
      </c>
      <c r="K10" s="99">
        <f t="shared" si="0"/>
        <v>1</v>
      </c>
    </row>
    <row r="11" spans="1:11" x14ac:dyDescent="0.25">
      <c r="A11" s="69">
        <v>9</v>
      </c>
      <c r="B11" s="73" t="s">
        <v>76</v>
      </c>
      <c r="C11" s="47" t="s">
        <v>11</v>
      </c>
      <c r="D11" s="34" t="s">
        <v>73</v>
      </c>
      <c r="E11" s="7"/>
      <c r="F11" s="8"/>
      <c r="H11" s="40" t="s">
        <v>119</v>
      </c>
      <c r="I11" s="92">
        <v>1</v>
      </c>
      <c r="J11" s="103">
        <v>0</v>
      </c>
      <c r="K11" s="100">
        <f t="shared" si="0"/>
        <v>1</v>
      </c>
    </row>
    <row r="12" spans="1:11" x14ac:dyDescent="0.25">
      <c r="A12" s="69">
        <v>10</v>
      </c>
      <c r="B12" s="74" t="s">
        <v>85</v>
      </c>
      <c r="C12" s="47" t="s">
        <v>12</v>
      </c>
      <c r="D12" s="34" t="s">
        <v>73</v>
      </c>
      <c r="E12" s="7"/>
      <c r="F12" s="9"/>
      <c r="H12" s="40" t="s">
        <v>118</v>
      </c>
      <c r="I12" s="92">
        <v>2</v>
      </c>
      <c r="J12" s="103">
        <v>0</v>
      </c>
      <c r="K12" s="100">
        <f t="shared" si="0"/>
        <v>1</v>
      </c>
    </row>
    <row r="13" spans="1:11" x14ac:dyDescent="0.25">
      <c r="A13" s="69">
        <v>11</v>
      </c>
      <c r="B13" s="73" t="s">
        <v>6</v>
      </c>
      <c r="C13" s="47" t="s">
        <v>13</v>
      </c>
      <c r="D13" s="34" t="s">
        <v>73</v>
      </c>
      <c r="E13" s="7"/>
      <c r="F13" s="9"/>
      <c r="H13" s="84" t="s">
        <v>3</v>
      </c>
      <c r="I13" s="93">
        <v>2</v>
      </c>
      <c r="J13" s="93">
        <v>0</v>
      </c>
      <c r="K13" s="101">
        <f t="shared" si="0"/>
        <v>1</v>
      </c>
    </row>
    <row r="14" spans="1:11" x14ac:dyDescent="0.25">
      <c r="A14" s="69">
        <v>12</v>
      </c>
      <c r="B14" s="73" t="s">
        <v>89</v>
      </c>
      <c r="C14" s="47" t="s">
        <v>14</v>
      </c>
      <c r="D14" s="34" t="s">
        <v>73</v>
      </c>
      <c r="E14" s="7"/>
      <c r="F14" s="9"/>
      <c r="H14" s="109" t="s">
        <v>218</v>
      </c>
      <c r="I14" s="104">
        <v>5</v>
      </c>
      <c r="J14" s="104">
        <v>1</v>
      </c>
      <c r="K14" s="105">
        <f>((I14-J14)/I14)</f>
        <v>0.8</v>
      </c>
    </row>
    <row r="15" spans="1:11" ht="15.75" thickBot="1" x14ac:dyDescent="0.3">
      <c r="A15" s="69">
        <v>13</v>
      </c>
      <c r="B15" s="73" t="s">
        <v>77</v>
      </c>
      <c r="C15" s="47" t="s">
        <v>15</v>
      </c>
      <c r="D15" s="34" t="s">
        <v>73</v>
      </c>
      <c r="E15" s="7"/>
      <c r="F15" s="9"/>
      <c r="G15" s="83"/>
      <c r="H15" s="84" t="s">
        <v>236</v>
      </c>
      <c r="I15" s="93">
        <v>1</v>
      </c>
      <c r="J15" s="93">
        <v>0</v>
      </c>
      <c r="K15" s="101">
        <f t="shared" ref="K15" si="1">((I15-J15)/I15)</f>
        <v>1</v>
      </c>
    </row>
    <row r="16" spans="1:11" ht="15.75" thickBot="1" x14ac:dyDescent="0.3">
      <c r="A16" s="69">
        <v>14</v>
      </c>
      <c r="B16" s="72" t="s">
        <v>84</v>
      </c>
      <c r="C16" s="47" t="s">
        <v>16</v>
      </c>
      <c r="D16" s="34" t="s">
        <v>73</v>
      </c>
      <c r="E16" s="7"/>
      <c r="F16" s="9"/>
      <c r="H16" s="106" t="s">
        <v>122</v>
      </c>
      <c r="I16" s="107">
        <f>SUM(I3:I15)</f>
        <v>66</v>
      </c>
      <c r="J16" s="107">
        <f>SUM(J3:J15)</f>
        <v>7</v>
      </c>
      <c r="K16" s="108">
        <f>((I16-J16)/I16)</f>
        <v>0.89393939393939392</v>
      </c>
    </row>
    <row r="17" spans="1:6" x14ac:dyDescent="0.25">
      <c r="A17" s="69">
        <v>15</v>
      </c>
      <c r="B17" s="74" t="s">
        <v>85</v>
      </c>
      <c r="C17" s="47" t="s">
        <v>21</v>
      </c>
      <c r="D17" s="34" t="s">
        <v>73</v>
      </c>
      <c r="E17" s="7"/>
      <c r="F17" s="9"/>
    </row>
    <row r="18" spans="1:6" x14ac:dyDescent="0.25">
      <c r="A18" s="69">
        <v>16</v>
      </c>
      <c r="B18" s="73" t="s">
        <v>79</v>
      </c>
      <c r="C18" s="47" t="s">
        <v>22</v>
      </c>
      <c r="D18" s="19" t="s">
        <v>74</v>
      </c>
      <c r="E18" s="7" t="s">
        <v>240</v>
      </c>
      <c r="F18" s="9" t="s">
        <v>243</v>
      </c>
    </row>
    <row r="19" spans="1:6" x14ac:dyDescent="0.25">
      <c r="A19" s="69">
        <v>17</v>
      </c>
      <c r="B19" s="74" t="s">
        <v>85</v>
      </c>
      <c r="C19" s="47" t="s">
        <v>46</v>
      </c>
      <c r="D19" s="34" t="s">
        <v>73</v>
      </c>
      <c r="E19" s="7" t="s">
        <v>252</v>
      </c>
      <c r="F19" s="9"/>
    </row>
    <row r="20" spans="1:6" x14ac:dyDescent="0.25">
      <c r="A20" s="69">
        <v>18</v>
      </c>
      <c r="B20" s="73" t="s">
        <v>90</v>
      </c>
      <c r="C20" s="47" t="s">
        <v>38</v>
      </c>
      <c r="D20" s="34" t="s">
        <v>73</v>
      </c>
      <c r="E20" s="7"/>
      <c r="F20" s="9"/>
    </row>
    <row r="21" spans="1:6" x14ac:dyDescent="0.25">
      <c r="A21" s="69">
        <v>19</v>
      </c>
      <c r="B21" s="73" t="s">
        <v>91</v>
      </c>
      <c r="C21" s="47" t="s">
        <v>44</v>
      </c>
      <c r="D21" s="34" t="s">
        <v>73</v>
      </c>
      <c r="E21" s="7"/>
      <c r="F21" s="9"/>
    </row>
    <row r="22" spans="1:6" x14ac:dyDescent="0.25">
      <c r="A22" s="69">
        <v>20</v>
      </c>
      <c r="B22" s="73" t="s">
        <v>77</v>
      </c>
      <c r="C22" s="47" t="s">
        <v>37</v>
      </c>
      <c r="D22" s="19" t="s">
        <v>74</v>
      </c>
      <c r="E22" s="7" t="s">
        <v>241</v>
      </c>
      <c r="F22" s="9" t="s">
        <v>243</v>
      </c>
    </row>
    <row r="23" spans="1:6" x14ac:dyDescent="0.25">
      <c r="A23" s="69">
        <v>21</v>
      </c>
      <c r="B23" s="73" t="s">
        <v>92</v>
      </c>
      <c r="C23" s="47" t="s">
        <v>39</v>
      </c>
      <c r="D23" s="34" t="s">
        <v>73</v>
      </c>
      <c r="E23" s="7"/>
      <c r="F23" s="9"/>
    </row>
    <row r="24" spans="1:6" x14ac:dyDescent="0.25">
      <c r="A24" s="69">
        <v>22</v>
      </c>
      <c r="B24" s="73" t="s">
        <v>97</v>
      </c>
      <c r="C24" s="47" t="s">
        <v>42</v>
      </c>
      <c r="D24" s="34" t="s">
        <v>73</v>
      </c>
      <c r="E24" s="7"/>
      <c r="F24" s="9"/>
    </row>
    <row r="25" spans="1:6" x14ac:dyDescent="0.25">
      <c r="A25" s="69">
        <v>23</v>
      </c>
      <c r="B25" s="73" t="s">
        <v>93</v>
      </c>
      <c r="C25" s="47" t="s">
        <v>43</v>
      </c>
      <c r="D25" s="19" t="s">
        <v>74</v>
      </c>
      <c r="E25" s="7" t="s">
        <v>242</v>
      </c>
      <c r="F25" s="9" t="s">
        <v>243</v>
      </c>
    </row>
    <row r="26" spans="1:6" x14ac:dyDescent="0.25">
      <c r="A26" s="69">
        <v>24</v>
      </c>
      <c r="B26" s="73" t="s">
        <v>123</v>
      </c>
      <c r="C26" s="47" t="s">
        <v>40</v>
      </c>
      <c r="D26" s="34" t="s">
        <v>73</v>
      </c>
      <c r="E26" s="7"/>
      <c r="F26" s="9"/>
    </row>
    <row r="27" spans="1:6" x14ac:dyDescent="0.25">
      <c r="A27" s="69">
        <v>25</v>
      </c>
      <c r="B27" s="73" t="s">
        <v>78</v>
      </c>
      <c r="C27" s="47" t="s">
        <v>41</v>
      </c>
      <c r="D27" s="34" t="s">
        <v>73</v>
      </c>
      <c r="E27" s="7" t="s">
        <v>251</v>
      </c>
      <c r="F27" s="9"/>
    </row>
    <row r="28" spans="1:6" x14ac:dyDescent="0.25">
      <c r="A28" s="69">
        <v>26</v>
      </c>
      <c r="B28" s="73" t="s">
        <v>80</v>
      </c>
      <c r="C28" s="47" t="s">
        <v>47</v>
      </c>
      <c r="D28" s="34" t="s">
        <v>73</v>
      </c>
      <c r="E28" s="7"/>
      <c r="F28" s="9"/>
    </row>
    <row r="29" spans="1:6" x14ac:dyDescent="0.25">
      <c r="A29" s="69">
        <v>27</v>
      </c>
      <c r="B29" s="73" t="s">
        <v>94</v>
      </c>
      <c r="C29" s="47" t="s">
        <v>48</v>
      </c>
      <c r="D29" s="34" t="s">
        <v>73</v>
      </c>
      <c r="E29" s="7"/>
      <c r="F29" s="9"/>
    </row>
    <row r="30" spans="1:6" x14ac:dyDescent="0.25">
      <c r="A30" s="69">
        <v>28</v>
      </c>
      <c r="B30" s="73" t="s">
        <v>78</v>
      </c>
      <c r="C30" s="47" t="s">
        <v>49</v>
      </c>
      <c r="D30" s="34" t="s">
        <v>73</v>
      </c>
      <c r="E30" s="7"/>
      <c r="F30" s="9"/>
    </row>
    <row r="31" spans="1:6" x14ac:dyDescent="0.25">
      <c r="A31" s="69">
        <v>29</v>
      </c>
      <c r="B31" s="73" t="s">
        <v>92</v>
      </c>
      <c r="C31" s="47" t="s">
        <v>50</v>
      </c>
      <c r="D31" s="34" t="s">
        <v>73</v>
      </c>
      <c r="E31" s="7"/>
      <c r="F31" s="9"/>
    </row>
    <row r="32" spans="1:6" x14ac:dyDescent="0.25">
      <c r="A32" s="69">
        <v>30</v>
      </c>
      <c r="B32" s="73" t="s">
        <v>90</v>
      </c>
      <c r="C32" s="47" t="s">
        <v>51</v>
      </c>
      <c r="D32" s="34" t="s">
        <v>73</v>
      </c>
      <c r="E32" s="7"/>
      <c r="F32" s="9"/>
    </row>
    <row r="33" spans="1:6" x14ac:dyDescent="0.25">
      <c r="A33" s="69">
        <v>31</v>
      </c>
      <c r="B33" s="74" t="s">
        <v>85</v>
      </c>
      <c r="C33" s="47" t="s">
        <v>52</v>
      </c>
      <c r="D33" s="34" t="s">
        <v>73</v>
      </c>
      <c r="E33" s="7"/>
      <c r="F33" s="9"/>
    </row>
    <row r="34" spans="1:6" x14ac:dyDescent="0.25">
      <c r="A34" s="69">
        <v>32</v>
      </c>
      <c r="B34" s="72" t="s">
        <v>84</v>
      </c>
      <c r="C34" s="47" t="s">
        <v>53</v>
      </c>
      <c r="D34" s="34" t="s">
        <v>73</v>
      </c>
      <c r="E34" s="7" t="s">
        <v>244</v>
      </c>
      <c r="F34" s="9"/>
    </row>
    <row r="35" spans="1:6" x14ac:dyDescent="0.25">
      <c r="A35" s="69">
        <v>33</v>
      </c>
      <c r="B35" s="73" t="s">
        <v>79</v>
      </c>
      <c r="C35" s="47" t="s">
        <v>54</v>
      </c>
      <c r="D35" s="34" t="s">
        <v>73</v>
      </c>
      <c r="E35" s="7" t="s">
        <v>245</v>
      </c>
      <c r="F35" s="9"/>
    </row>
    <row r="36" spans="1:6" x14ac:dyDescent="0.25">
      <c r="A36" s="69">
        <v>34</v>
      </c>
      <c r="B36" s="74" t="s">
        <v>85</v>
      </c>
      <c r="C36" s="47" t="s">
        <v>55</v>
      </c>
      <c r="D36" s="34" t="s">
        <v>73</v>
      </c>
      <c r="E36" s="7"/>
      <c r="F36" s="9"/>
    </row>
    <row r="37" spans="1:6" x14ac:dyDescent="0.25">
      <c r="A37" s="69">
        <v>35</v>
      </c>
      <c r="B37" s="73" t="s">
        <v>78</v>
      </c>
      <c r="C37" s="47" t="s">
        <v>56</v>
      </c>
      <c r="D37" s="34" t="s">
        <v>73</v>
      </c>
      <c r="E37" s="7"/>
      <c r="F37" s="8"/>
    </row>
    <row r="38" spans="1:6" x14ac:dyDescent="0.25">
      <c r="A38" s="69">
        <v>36</v>
      </c>
      <c r="B38" s="73" t="s">
        <v>92</v>
      </c>
      <c r="C38" s="47" t="s">
        <v>57</v>
      </c>
      <c r="D38" s="34" t="s">
        <v>73</v>
      </c>
      <c r="E38" s="7"/>
      <c r="F38" s="9"/>
    </row>
    <row r="39" spans="1:6" x14ac:dyDescent="0.25">
      <c r="A39" s="69">
        <v>37</v>
      </c>
      <c r="B39" s="73" t="s">
        <v>88</v>
      </c>
      <c r="C39" s="47" t="s">
        <v>58</v>
      </c>
      <c r="D39" s="34" t="s">
        <v>73</v>
      </c>
      <c r="E39" s="7"/>
      <c r="F39" s="9"/>
    </row>
    <row r="40" spans="1:6" x14ac:dyDescent="0.25">
      <c r="A40" s="69">
        <v>38</v>
      </c>
      <c r="B40" s="72" t="s">
        <v>84</v>
      </c>
      <c r="C40" s="47" t="s">
        <v>59</v>
      </c>
      <c r="D40" s="19" t="s">
        <v>74</v>
      </c>
      <c r="E40" s="7" t="s">
        <v>253</v>
      </c>
      <c r="F40" s="9"/>
    </row>
    <row r="41" spans="1:6" x14ac:dyDescent="0.25">
      <c r="A41" s="69">
        <v>39</v>
      </c>
      <c r="B41" s="72" t="s">
        <v>98</v>
      </c>
      <c r="C41" s="47" t="s">
        <v>99</v>
      </c>
      <c r="D41" s="34" t="s">
        <v>73</v>
      </c>
      <c r="E41" s="7"/>
      <c r="F41" s="9"/>
    </row>
    <row r="42" spans="1:6" x14ac:dyDescent="0.25">
      <c r="A42" s="69">
        <v>40</v>
      </c>
      <c r="B42" s="73" t="s">
        <v>8</v>
      </c>
      <c r="C42" s="47" t="s">
        <v>62</v>
      </c>
      <c r="D42" s="34" t="s">
        <v>73</v>
      </c>
      <c r="E42" s="7"/>
      <c r="F42" s="9"/>
    </row>
    <row r="43" spans="1:6" x14ac:dyDescent="0.25">
      <c r="A43" s="69">
        <v>41</v>
      </c>
      <c r="B43" s="73" t="s">
        <v>93</v>
      </c>
      <c r="C43" s="47" t="s">
        <v>63</v>
      </c>
      <c r="D43" s="34" t="s">
        <v>73</v>
      </c>
      <c r="E43" s="7"/>
      <c r="F43" s="9"/>
    </row>
    <row r="44" spans="1:6" x14ac:dyDescent="0.25">
      <c r="A44" s="69">
        <v>42</v>
      </c>
      <c r="B44" s="73" t="s">
        <v>77</v>
      </c>
      <c r="C44" s="47" t="s">
        <v>65</v>
      </c>
      <c r="D44" s="34" t="s">
        <v>73</v>
      </c>
      <c r="E44" s="7" t="s">
        <v>250</v>
      </c>
      <c r="F44" s="9"/>
    </row>
    <row r="45" spans="1:6" x14ac:dyDescent="0.25">
      <c r="A45" s="69">
        <v>43</v>
      </c>
      <c r="B45" s="73" t="s">
        <v>95</v>
      </c>
      <c r="C45" s="47" t="s">
        <v>60</v>
      </c>
      <c r="D45" s="34" t="s">
        <v>73</v>
      </c>
      <c r="E45" s="7" t="s">
        <v>246</v>
      </c>
      <c r="F45" s="9"/>
    </row>
    <row r="46" spans="1:6" x14ac:dyDescent="0.25">
      <c r="A46" s="69">
        <v>44</v>
      </c>
      <c r="B46" s="73" t="s">
        <v>96</v>
      </c>
      <c r="C46" s="47" t="s">
        <v>61</v>
      </c>
      <c r="D46" s="34" t="s">
        <v>73</v>
      </c>
      <c r="E46" s="7"/>
      <c r="F46" s="9"/>
    </row>
    <row r="47" spans="1:6" x14ac:dyDescent="0.25">
      <c r="A47" s="69">
        <v>45</v>
      </c>
      <c r="B47" s="73" t="s">
        <v>91</v>
      </c>
      <c r="C47" s="47" t="s">
        <v>64</v>
      </c>
      <c r="D47" s="34" t="s">
        <v>73</v>
      </c>
      <c r="E47" s="7"/>
      <c r="F47" s="9"/>
    </row>
    <row r="48" spans="1:6" x14ac:dyDescent="0.25">
      <c r="A48" s="69">
        <v>46</v>
      </c>
      <c r="B48" s="73" t="s">
        <v>88</v>
      </c>
      <c r="C48" s="47" t="s">
        <v>23</v>
      </c>
      <c r="D48" s="34" t="s">
        <v>73</v>
      </c>
      <c r="E48" s="7"/>
      <c r="F48" s="9"/>
    </row>
    <row r="49" spans="1:6" x14ac:dyDescent="0.25">
      <c r="A49" s="69">
        <v>47</v>
      </c>
      <c r="B49" s="73" t="s">
        <v>81</v>
      </c>
      <c r="C49" s="47" t="s">
        <v>24</v>
      </c>
      <c r="D49" s="34" t="s">
        <v>73</v>
      </c>
      <c r="E49" s="7"/>
      <c r="F49" s="9"/>
    </row>
    <row r="50" spans="1:6" x14ac:dyDescent="0.25">
      <c r="A50" s="69">
        <v>48</v>
      </c>
      <c r="B50" s="73" t="s">
        <v>81</v>
      </c>
      <c r="C50" s="47" t="s">
        <v>25</v>
      </c>
      <c r="D50" s="34" t="s">
        <v>73</v>
      </c>
      <c r="E50" s="7"/>
      <c r="F50" s="9"/>
    </row>
    <row r="51" spans="1:6" x14ac:dyDescent="0.25">
      <c r="A51" s="69">
        <v>49</v>
      </c>
      <c r="B51" s="74" t="s">
        <v>100</v>
      </c>
      <c r="C51" s="47" t="s">
        <v>26</v>
      </c>
      <c r="D51" s="19" t="s">
        <v>74</v>
      </c>
      <c r="E51" s="7" t="s">
        <v>247</v>
      </c>
      <c r="F51" s="9" t="s">
        <v>243</v>
      </c>
    </row>
    <row r="52" spans="1:6" x14ac:dyDescent="0.25">
      <c r="A52" s="69">
        <v>50</v>
      </c>
      <c r="B52" s="74" t="s">
        <v>100</v>
      </c>
      <c r="C52" s="47" t="s">
        <v>27</v>
      </c>
      <c r="D52" s="34" t="s">
        <v>73</v>
      </c>
      <c r="E52" s="21"/>
      <c r="F52" s="9"/>
    </row>
    <row r="53" spans="1:6" x14ac:dyDescent="0.25">
      <c r="A53" s="69">
        <v>51</v>
      </c>
      <c r="B53" s="74" t="s">
        <v>100</v>
      </c>
      <c r="C53" s="47" t="s">
        <v>28</v>
      </c>
      <c r="D53" s="34" t="s">
        <v>73</v>
      </c>
      <c r="E53" s="7"/>
      <c r="F53" s="9"/>
    </row>
    <row r="54" spans="1:6" x14ac:dyDescent="0.25">
      <c r="A54" s="69">
        <v>52</v>
      </c>
      <c r="B54" s="74" t="s">
        <v>100</v>
      </c>
      <c r="C54" s="47" t="s">
        <v>29</v>
      </c>
      <c r="D54" s="34" t="s">
        <v>73</v>
      </c>
      <c r="E54" s="21"/>
      <c r="F54" s="9"/>
    </row>
    <row r="55" spans="1:6" x14ac:dyDescent="0.25">
      <c r="A55" s="69">
        <v>53</v>
      </c>
      <c r="B55" s="74" t="s">
        <v>100</v>
      </c>
      <c r="C55" s="49" t="s">
        <v>30</v>
      </c>
      <c r="D55" s="34" t="s">
        <v>73</v>
      </c>
      <c r="E55" s="7"/>
      <c r="F55" s="9"/>
    </row>
    <row r="56" spans="1:6" x14ac:dyDescent="0.25">
      <c r="A56" s="69">
        <v>54</v>
      </c>
      <c r="B56" s="72" t="s">
        <v>84</v>
      </c>
      <c r="C56" s="49" t="s">
        <v>31</v>
      </c>
      <c r="D56" s="34" t="s">
        <v>73</v>
      </c>
      <c r="E56" s="7"/>
      <c r="F56" s="9"/>
    </row>
    <row r="57" spans="1:6" x14ac:dyDescent="0.25">
      <c r="A57" s="69">
        <v>55</v>
      </c>
      <c r="B57" s="74" t="s">
        <v>85</v>
      </c>
      <c r="C57" s="49" t="s">
        <v>32</v>
      </c>
      <c r="D57" s="34" t="s">
        <v>73</v>
      </c>
      <c r="E57" s="7"/>
      <c r="F57" s="9"/>
    </row>
    <row r="58" spans="1:6" x14ac:dyDescent="0.25">
      <c r="A58" s="69">
        <v>56</v>
      </c>
      <c r="B58" s="74" t="s">
        <v>123</v>
      </c>
      <c r="C58" s="49" t="s">
        <v>33</v>
      </c>
      <c r="D58" s="34" t="s">
        <v>73</v>
      </c>
      <c r="E58" s="7" t="s">
        <v>248</v>
      </c>
      <c r="F58" s="9"/>
    </row>
    <row r="59" spans="1:6" x14ac:dyDescent="0.25">
      <c r="A59" s="69">
        <v>57</v>
      </c>
      <c r="B59" s="74" t="s">
        <v>82</v>
      </c>
      <c r="C59" s="49" t="s">
        <v>34</v>
      </c>
      <c r="D59" s="34" t="s">
        <v>73</v>
      </c>
      <c r="E59" s="7"/>
      <c r="F59" s="9"/>
    </row>
    <row r="60" spans="1:6" x14ac:dyDescent="0.25">
      <c r="A60" s="69">
        <v>58</v>
      </c>
      <c r="B60" s="74" t="s">
        <v>82</v>
      </c>
      <c r="C60" s="49" t="s">
        <v>35</v>
      </c>
      <c r="D60" s="34" t="s">
        <v>73</v>
      </c>
      <c r="E60" s="7"/>
      <c r="F60" s="9"/>
    </row>
    <row r="61" spans="1:6" x14ac:dyDescent="0.25">
      <c r="A61" s="69">
        <v>59</v>
      </c>
      <c r="B61" s="74" t="s">
        <v>107</v>
      </c>
      <c r="C61" s="49" t="s">
        <v>36</v>
      </c>
      <c r="D61" s="34" t="s">
        <v>73</v>
      </c>
      <c r="E61" s="3"/>
      <c r="F61" s="8"/>
    </row>
    <row r="62" spans="1:6" x14ac:dyDescent="0.25">
      <c r="A62" s="69">
        <v>60</v>
      </c>
      <c r="B62" s="74" t="s">
        <v>100</v>
      </c>
      <c r="C62" s="49" t="s">
        <v>68</v>
      </c>
      <c r="D62" s="34" t="s">
        <v>73</v>
      </c>
      <c r="E62" s="7" t="s">
        <v>249</v>
      </c>
      <c r="F62" s="9"/>
    </row>
    <row r="63" spans="1:6" x14ac:dyDescent="0.25">
      <c r="A63" s="70">
        <v>61</v>
      </c>
      <c r="B63" s="74" t="s">
        <v>100</v>
      </c>
      <c r="C63" s="49" t="s">
        <v>108</v>
      </c>
      <c r="D63" s="34" t="s">
        <v>73</v>
      </c>
      <c r="E63" s="7"/>
      <c r="F63" s="9"/>
    </row>
    <row r="64" spans="1:6" x14ac:dyDescent="0.25">
      <c r="A64" s="71">
        <v>62</v>
      </c>
      <c r="B64" s="74" t="s">
        <v>212</v>
      </c>
      <c r="C64" s="64" t="s">
        <v>124</v>
      </c>
      <c r="D64" s="65" t="s">
        <v>73</v>
      </c>
      <c r="E64" s="66"/>
      <c r="F64" s="67"/>
    </row>
    <row r="65" spans="1:6" x14ac:dyDescent="0.25">
      <c r="A65" s="70">
        <v>63</v>
      </c>
      <c r="B65" s="75" t="s">
        <v>77</v>
      </c>
      <c r="C65" s="49" t="s">
        <v>214</v>
      </c>
      <c r="D65" s="76" t="s">
        <v>73</v>
      </c>
      <c r="E65" s="7"/>
      <c r="F65" s="9"/>
    </row>
    <row r="66" spans="1:6" x14ac:dyDescent="0.25">
      <c r="A66" s="70">
        <v>64</v>
      </c>
      <c r="B66" s="74" t="s">
        <v>84</v>
      </c>
      <c r="C66" s="49" t="s">
        <v>215</v>
      </c>
      <c r="D66" s="76" t="s">
        <v>73</v>
      </c>
      <c r="E66" s="7"/>
      <c r="F66" s="9"/>
    </row>
    <row r="67" spans="1:6" x14ac:dyDescent="0.25">
      <c r="A67" s="119">
        <v>65</v>
      </c>
      <c r="B67" s="74" t="s">
        <v>87</v>
      </c>
      <c r="C67" s="117" t="s">
        <v>217</v>
      </c>
      <c r="D67" s="76" t="s">
        <v>73</v>
      </c>
      <c r="E67" s="7"/>
      <c r="F67" s="118"/>
    </row>
    <row r="68" spans="1:6" ht="15.75" thickBot="1" x14ac:dyDescent="0.3">
      <c r="A68" s="78">
        <v>66</v>
      </c>
      <c r="B68" s="120" t="s">
        <v>84</v>
      </c>
      <c r="C68" s="79" t="s">
        <v>19</v>
      </c>
      <c r="D68" s="77" t="s">
        <v>73</v>
      </c>
      <c r="E68" s="116" t="s">
        <v>255</v>
      </c>
      <c r="F68" s="80"/>
    </row>
    <row r="69" spans="1:6" x14ac:dyDescent="0.25">
      <c r="A69" s="45"/>
      <c r="B69" s="30"/>
      <c r="C69" s="31"/>
      <c r="D69" s="31"/>
      <c r="E69" s="32"/>
      <c r="F69" s="33"/>
    </row>
    <row r="71" spans="1:6" x14ac:dyDescent="0.25">
      <c r="B71" s="27" t="s">
        <v>69</v>
      </c>
      <c r="C71" s="28"/>
      <c r="D71" s="13"/>
    </row>
    <row r="72" spans="1:6" x14ac:dyDescent="0.25">
      <c r="B72" s="14"/>
      <c r="C72" s="15"/>
      <c r="D72" s="16"/>
    </row>
    <row r="73" spans="1:6" x14ac:dyDescent="0.25">
      <c r="B73" s="17" t="s">
        <v>70</v>
      </c>
      <c r="C73" s="26" t="s">
        <v>223</v>
      </c>
      <c r="D73" s="16"/>
    </row>
    <row r="74" spans="1:6" x14ac:dyDescent="0.25">
      <c r="B74" s="17" t="s">
        <v>71</v>
      </c>
      <c r="C74" s="26" t="s">
        <v>219</v>
      </c>
      <c r="D74" s="15" t="s">
        <v>239</v>
      </c>
    </row>
    <row r="75" spans="1:6" x14ac:dyDescent="0.25">
      <c r="B75" s="17" t="s">
        <v>72</v>
      </c>
      <c r="C75" s="25" t="s">
        <v>237</v>
      </c>
      <c r="D75" s="29" t="s">
        <v>238</v>
      </c>
    </row>
    <row r="76" spans="1:6" x14ac:dyDescent="0.25">
      <c r="B76" s="18" t="s">
        <v>109</v>
      </c>
      <c r="C76" s="24" t="s">
        <v>213</v>
      </c>
      <c r="D76" s="29"/>
      <c r="E76" s="13"/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76"/>
  <sheetViews>
    <sheetView topLeftCell="A25" workbookViewId="0">
      <selection sqref="A1:XFD1048576"/>
    </sheetView>
  </sheetViews>
  <sheetFormatPr defaultRowHeight="15" x14ac:dyDescent="0.25"/>
  <cols>
    <col min="1" max="1" width="3.42578125" bestFit="1" customWidth="1"/>
    <col min="2" max="2" width="17.5703125" customWidth="1"/>
    <col min="3" max="3" width="10.140625" customWidth="1"/>
    <col min="4" max="4" width="30.5703125" customWidth="1"/>
    <col min="5" max="5" width="75.140625" customWidth="1"/>
    <col min="6" max="6" width="50.140625" bestFit="1" customWidth="1"/>
    <col min="8" max="8" width="27.28515625" customWidth="1"/>
    <col min="9" max="9" width="10.85546875" customWidth="1"/>
    <col min="10" max="10" width="11" customWidth="1"/>
    <col min="11" max="11" width="11" bestFit="1" customWidth="1"/>
  </cols>
  <sheetData>
    <row r="1" spans="1:11" ht="16.5" thickBot="1" x14ac:dyDescent="0.3">
      <c r="A1" s="4"/>
      <c r="B1" s="5"/>
      <c r="C1" s="2"/>
      <c r="D1" s="5"/>
      <c r="E1" s="12" t="s">
        <v>256</v>
      </c>
      <c r="F1" s="6"/>
    </row>
    <row r="2" spans="1:11" ht="15.75" thickBot="1" x14ac:dyDescent="0.3">
      <c r="A2" s="68" t="s">
        <v>0</v>
      </c>
      <c r="B2" s="110" t="s">
        <v>1</v>
      </c>
      <c r="C2" s="111" t="s">
        <v>2</v>
      </c>
      <c r="D2" s="112" t="s">
        <v>121</v>
      </c>
      <c r="E2" s="113" t="s">
        <v>45</v>
      </c>
      <c r="F2" s="114" t="s">
        <v>102</v>
      </c>
      <c r="H2" s="44"/>
      <c r="I2" s="85" t="s">
        <v>110</v>
      </c>
      <c r="J2" s="41" t="s">
        <v>111</v>
      </c>
      <c r="K2" s="42" t="s">
        <v>120</v>
      </c>
    </row>
    <row r="3" spans="1:11" x14ac:dyDescent="0.25">
      <c r="A3" s="115">
        <v>1</v>
      </c>
      <c r="B3" s="81" t="s">
        <v>84</v>
      </c>
      <c r="C3" s="46" t="s">
        <v>66</v>
      </c>
      <c r="D3" s="50" t="s">
        <v>73</v>
      </c>
      <c r="E3" s="22"/>
      <c r="F3" s="23"/>
      <c r="H3" s="35" t="s">
        <v>112</v>
      </c>
      <c r="I3" s="86">
        <v>9</v>
      </c>
      <c r="J3" s="86">
        <v>2</v>
      </c>
      <c r="K3" s="94">
        <f t="shared" ref="K3:K13" si="0">((I3-J3)/I3)</f>
        <v>0.77777777777777779</v>
      </c>
    </row>
    <row r="4" spans="1:11" x14ac:dyDescent="0.25">
      <c r="A4" s="69">
        <v>2</v>
      </c>
      <c r="B4" s="72" t="s">
        <v>84</v>
      </c>
      <c r="C4" s="48" t="s">
        <v>67</v>
      </c>
      <c r="D4" s="34" t="s">
        <v>73</v>
      </c>
      <c r="E4" s="7"/>
      <c r="F4" s="9"/>
      <c r="H4" s="43" t="s">
        <v>117</v>
      </c>
      <c r="I4" s="87">
        <v>33</v>
      </c>
      <c r="J4" s="87">
        <v>2</v>
      </c>
      <c r="K4" s="95">
        <f t="shared" si="0"/>
        <v>0.93939393939393945</v>
      </c>
    </row>
    <row r="5" spans="1:11" x14ac:dyDescent="0.25">
      <c r="A5" s="69">
        <v>3</v>
      </c>
      <c r="B5" s="72" t="s">
        <v>103</v>
      </c>
      <c r="C5" s="48" t="s">
        <v>104</v>
      </c>
      <c r="D5" s="34" t="s">
        <v>73</v>
      </c>
      <c r="E5" s="7"/>
      <c r="F5" s="9"/>
      <c r="H5" s="43" t="s">
        <v>116</v>
      </c>
      <c r="I5" s="87">
        <v>2</v>
      </c>
      <c r="J5" s="87">
        <v>0</v>
      </c>
      <c r="K5" s="95">
        <f t="shared" si="0"/>
        <v>1</v>
      </c>
    </row>
    <row r="6" spans="1:11" x14ac:dyDescent="0.25">
      <c r="A6" s="69">
        <v>4</v>
      </c>
      <c r="B6" s="72" t="s">
        <v>105</v>
      </c>
      <c r="C6" s="48" t="s">
        <v>106</v>
      </c>
      <c r="D6" s="34" t="s">
        <v>73</v>
      </c>
      <c r="E6" s="7"/>
      <c r="F6" s="9"/>
      <c r="H6" s="43" t="s">
        <v>115</v>
      </c>
      <c r="I6" s="87">
        <v>2</v>
      </c>
      <c r="J6" s="87">
        <v>0</v>
      </c>
      <c r="K6" s="95">
        <f>((I6-J6)/I6)</f>
        <v>1</v>
      </c>
    </row>
    <row r="7" spans="1:11" x14ac:dyDescent="0.25">
      <c r="A7" s="69">
        <v>5</v>
      </c>
      <c r="B7" s="72" t="s">
        <v>86</v>
      </c>
      <c r="C7" s="48" t="s">
        <v>83</v>
      </c>
      <c r="D7" s="34" t="s">
        <v>73</v>
      </c>
      <c r="E7" s="7"/>
      <c r="F7" s="9"/>
      <c r="H7" s="36" t="s">
        <v>113</v>
      </c>
      <c r="I7" s="88">
        <v>4</v>
      </c>
      <c r="J7" s="88">
        <v>0</v>
      </c>
      <c r="K7" s="96">
        <f t="shared" si="0"/>
        <v>1</v>
      </c>
    </row>
    <row r="8" spans="1:11" x14ac:dyDescent="0.25">
      <c r="A8" s="69">
        <v>6</v>
      </c>
      <c r="B8" s="73" t="s">
        <v>87</v>
      </c>
      <c r="C8" s="47" t="s">
        <v>75</v>
      </c>
      <c r="D8" s="34" t="s">
        <v>73</v>
      </c>
      <c r="E8" s="20"/>
      <c r="F8" s="8"/>
      <c r="H8" s="37" t="s">
        <v>114</v>
      </c>
      <c r="I8" s="89">
        <v>1</v>
      </c>
      <c r="J8" s="89">
        <v>0</v>
      </c>
      <c r="K8" s="97">
        <f t="shared" si="0"/>
        <v>1</v>
      </c>
    </row>
    <row r="9" spans="1:11" x14ac:dyDescent="0.25">
      <c r="A9" s="69">
        <v>7</v>
      </c>
      <c r="B9" s="73" t="s">
        <v>8</v>
      </c>
      <c r="C9" s="47" t="s">
        <v>9</v>
      </c>
      <c r="D9" s="34" t="s">
        <v>73</v>
      </c>
      <c r="E9" s="20"/>
      <c r="F9" s="8"/>
      <c r="H9" s="38" t="s">
        <v>4</v>
      </c>
      <c r="I9" s="90">
        <v>3</v>
      </c>
      <c r="J9" s="102">
        <v>0</v>
      </c>
      <c r="K9" s="98">
        <f t="shared" si="0"/>
        <v>1</v>
      </c>
    </row>
    <row r="10" spans="1:11" x14ac:dyDescent="0.25">
      <c r="A10" s="69">
        <v>8</v>
      </c>
      <c r="B10" s="73" t="s">
        <v>88</v>
      </c>
      <c r="C10" s="47" t="s">
        <v>10</v>
      </c>
      <c r="D10" s="19" t="s">
        <v>74</v>
      </c>
      <c r="E10" s="7" t="s">
        <v>221</v>
      </c>
      <c r="F10" s="8" t="s">
        <v>216</v>
      </c>
      <c r="H10" s="39" t="s">
        <v>5</v>
      </c>
      <c r="I10" s="91">
        <v>1</v>
      </c>
      <c r="J10" s="91">
        <v>0</v>
      </c>
      <c r="K10" s="99">
        <f t="shared" si="0"/>
        <v>1</v>
      </c>
    </row>
    <row r="11" spans="1:11" x14ac:dyDescent="0.25">
      <c r="A11" s="69">
        <v>9</v>
      </c>
      <c r="B11" s="73" t="s">
        <v>76</v>
      </c>
      <c r="C11" s="47" t="s">
        <v>11</v>
      </c>
      <c r="D11" s="34" t="s">
        <v>73</v>
      </c>
      <c r="E11" s="7"/>
      <c r="F11" s="8"/>
      <c r="H11" s="40" t="s">
        <v>119</v>
      </c>
      <c r="I11" s="92">
        <v>1</v>
      </c>
      <c r="J11" s="103">
        <v>0</v>
      </c>
      <c r="K11" s="100">
        <f t="shared" si="0"/>
        <v>1</v>
      </c>
    </row>
    <row r="12" spans="1:11" x14ac:dyDescent="0.25">
      <c r="A12" s="69">
        <v>10</v>
      </c>
      <c r="B12" s="74" t="s">
        <v>85</v>
      </c>
      <c r="C12" s="47" t="s">
        <v>12</v>
      </c>
      <c r="D12" s="34" t="s">
        <v>73</v>
      </c>
      <c r="E12" s="7"/>
      <c r="F12" s="9"/>
      <c r="H12" s="40" t="s">
        <v>118</v>
      </c>
      <c r="I12" s="92">
        <v>2</v>
      </c>
      <c r="J12" s="103">
        <v>0</v>
      </c>
      <c r="K12" s="100">
        <f t="shared" si="0"/>
        <v>1</v>
      </c>
    </row>
    <row r="13" spans="1:11" x14ac:dyDescent="0.25">
      <c r="A13" s="69">
        <v>11</v>
      </c>
      <c r="B13" s="73" t="s">
        <v>6</v>
      </c>
      <c r="C13" s="47" t="s">
        <v>13</v>
      </c>
      <c r="D13" s="34" t="s">
        <v>73</v>
      </c>
      <c r="E13" s="7"/>
      <c r="F13" s="9"/>
      <c r="H13" s="84" t="s">
        <v>3</v>
      </c>
      <c r="I13" s="93">
        <v>2</v>
      </c>
      <c r="J13" s="93">
        <v>0</v>
      </c>
      <c r="K13" s="101">
        <f t="shared" si="0"/>
        <v>1</v>
      </c>
    </row>
    <row r="14" spans="1:11" x14ac:dyDescent="0.25">
      <c r="A14" s="69">
        <v>12</v>
      </c>
      <c r="B14" s="73" t="s">
        <v>89</v>
      </c>
      <c r="C14" s="47" t="s">
        <v>14</v>
      </c>
      <c r="D14" s="34" t="s">
        <v>73</v>
      </c>
      <c r="E14" s="7"/>
      <c r="F14" s="9"/>
      <c r="H14" s="109" t="s">
        <v>218</v>
      </c>
      <c r="I14" s="104">
        <v>5</v>
      </c>
      <c r="J14" s="104">
        <v>1</v>
      </c>
      <c r="K14" s="105">
        <f>((I14-J14)/I14)</f>
        <v>0.8</v>
      </c>
    </row>
    <row r="15" spans="1:11" ht="15.75" thickBot="1" x14ac:dyDescent="0.3">
      <c r="A15" s="69">
        <v>13</v>
      </c>
      <c r="B15" s="73" t="s">
        <v>77</v>
      </c>
      <c r="C15" s="47" t="s">
        <v>15</v>
      </c>
      <c r="D15" s="34" t="s">
        <v>73</v>
      </c>
      <c r="E15" s="7"/>
      <c r="F15" s="9"/>
      <c r="G15" s="83"/>
      <c r="H15" s="84" t="s">
        <v>236</v>
      </c>
      <c r="I15" s="93">
        <v>1</v>
      </c>
      <c r="J15" s="93">
        <v>0</v>
      </c>
      <c r="K15" s="101">
        <f t="shared" ref="K15" si="1">((I15-J15)/I15)</f>
        <v>1</v>
      </c>
    </row>
    <row r="16" spans="1:11" ht="15.75" thickBot="1" x14ac:dyDescent="0.3">
      <c r="A16" s="69">
        <v>14</v>
      </c>
      <c r="B16" s="72" t="s">
        <v>84</v>
      </c>
      <c r="C16" s="47" t="s">
        <v>16</v>
      </c>
      <c r="D16" s="34" t="s">
        <v>73</v>
      </c>
      <c r="E16" s="7"/>
      <c r="F16" s="9"/>
      <c r="H16" s="106" t="s">
        <v>122</v>
      </c>
      <c r="I16" s="107">
        <f>SUM(I3:I15)</f>
        <v>66</v>
      </c>
      <c r="J16" s="107">
        <f>SUM(J3:J15)</f>
        <v>5</v>
      </c>
      <c r="K16" s="108">
        <f>((I16-J16)/I16)</f>
        <v>0.9242424242424242</v>
      </c>
    </row>
    <row r="17" spans="1:6" x14ac:dyDescent="0.25">
      <c r="A17" s="69">
        <v>15</v>
      </c>
      <c r="B17" s="74" t="s">
        <v>85</v>
      </c>
      <c r="C17" s="47" t="s">
        <v>21</v>
      </c>
      <c r="D17" s="34" t="s">
        <v>73</v>
      </c>
      <c r="E17" s="7"/>
      <c r="F17" s="9"/>
    </row>
    <row r="18" spans="1:6" x14ac:dyDescent="0.25">
      <c r="A18" s="69">
        <v>16</v>
      </c>
      <c r="B18" s="73" t="s">
        <v>79</v>
      </c>
      <c r="C18" s="47" t="s">
        <v>22</v>
      </c>
      <c r="D18" s="19" t="s">
        <v>74</v>
      </c>
      <c r="E18" s="7" t="s">
        <v>240</v>
      </c>
      <c r="F18" s="9" t="s">
        <v>243</v>
      </c>
    </row>
    <row r="19" spans="1:6" x14ac:dyDescent="0.25">
      <c r="A19" s="69">
        <v>17</v>
      </c>
      <c r="B19" s="74" t="s">
        <v>85</v>
      </c>
      <c r="C19" s="47" t="s">
        <v>46</v>
      </c>
      <c r="D19" s="34" t="s">
        <v>73</v>
      </c>
      <c r="E19" s="7"/>
      <c r="F19" s="9"/>
    </row>
    <row r="20" spans="1:6" x14ac:dyDescent="0.25">
      <c r="A20" s="69">
        <v>18</v>
      </c>
      <c r="B20" s="73" t="s">
        <v>90</v>
      </c>
      <c r="C20" s="47" t="s">
        <v>38</v>
      </c>
      <c r="D20" s="34" t="s">
        <v>73</v>
      </c>
      <c r="E20" s="7" t="s">
        <v>257</v>
      </c>
      <c r="F20" s="9"/>
    </row>
    <row r="21" spans="1:6" x14ac:dyDescent="0.25">
      <c r="A21" s="69">
        <v>19</v>
      </c>
      <c r="B21" s="73" t="s">
        <v>91</v>
      </c>
      <c r="C21" s="47" t="s">
        <v>44</v>
      </c>
      <c r="D21" s="34" t="s">
        <v>73</v>
      </c>
      <c r="E21" s="7"/>
      <c r="F21" s="9"/>
    </row>
    <row r="22" spans="1:6" x14ac:dyDescent="0.25">
      <c r="A22" s="69">
        <v>20</v>
      </c>
      <c r="B22" s="73" t="s">
        <v>77</v>
      </c>
      <c r="C22" s="47" t="s">
        <v>37</v>
      </c>
      <c r="D22" s="34" t="s">
        <v>73</v>
      </c>
      <c r="E22" s="7" t="s">
        <v>258</v>
      </c>
      <c r="F22" s="9"/>
    </row>
    <row r="23" spans="1:6" x14ac:dyDescent="0.25">
      <c r="A23" s="69">
        <v>21</v>
      </c>
      <c r="B23" s="73" t="s">
        <v>92</v>
      </c>
      <c r="C23" s="47" t="s">
        <v>39</v>
      </c>
      <c r="D23" s="34" t="s">
        <v>73</v>
      </c>
      <c r="E23" s="7"/>
      <c r="F23" s="9"/>
    </row>
    <row r="24" spans="1:6" x14ac:dyDescent="0.25">
      <c r="A24" s="69">
        <v>22</v>
      </c>
      <c r="B24" s="73" t="s">
        <v>97</v>
      </c>
      <c r="C24" s="47" t="s">
        <v>42</v>
      </c>
      <c r="D24" s="34" t="s">
        <v>73</v>
      </c>
      <c r="E24" s="7"/>
      <c r="F24" s="9"/>
    </row>
    <row r="25" spans="1:6" x14ac:dyDescent="0.25">
      <c r="A25" s="69">
        <v>23</v>
      </c>
      <c r="B25" s="73" t="s">
        <v>93</v>
      </c>
      <c r="C25" s="47" t="s">
        <v>43</v>
      </c>
      <c r="D25" s="19" t="s">
        <v>74</v>
      </c>
      <c r="E25" s="7" t="s">
        <v>242</v>
      </c>
      <c r="F25" s="9" t="s">
        <v>243</v>
      </c>
    </row>
    <row r="26" spans="1:6" x14ac:dyDescent="0.25">
      <c r="A26" s="69">
        <v>24</v>
      </c>
      <c r="B26" s="73" t="s">
        <v>123</v>
      </c>
      <c r="C26" s="47" t="s">
        <v>40</v>
      </c>
      <c r="D26" s="34" t="s">
        <v>73</v>
      </c>
      <c r="E26" s="7"/>
      <c r="F26" s="9"/>
    </row>
    <row r="27" spans="1:6" x14ac:dyDescent="0.25">
      <c r="A27" s="69">
        <v>25</v>
      </c>
      <c r="B27" s="73" t="s">
        <v>78</v>
      </c>
      <c r="C27" s="47" t="s">
        <v>41</v>
      </c>
      <c r="D27" s="34" t="s">
        <v>73</v>
      </c>
      <c r="E27" s="7"/>
      <c r="F27" s="9"/>
    </row>
    <row r="28" spans="1:6" x14ac:dyDescent="0.25">
      <c r="A28" s="69">
        <v>26</v>
      </c>
      <c r="B28" s="73" t="s">
        <v>80</v>
      </c>
      <c r="C28" s="47" t="s">
        <v>47</v>
      </c>
      <c r="D28" s="34" t="s">
        <v>73</v>
      </c>
      <c r="E28" s="7"/>
      <c r="F28" s="9"/>
    </row>
    <row r="29" spans="1:6" x14ac:dyDescent="0.25">
      <c r="A29" s="69">
        <v>27</v>
      </c>
      <c r="B29" s="73" t="s">
        <v>94</v>
      </c>
      <c r="C29" s="47" t="s">
        <v>48</v>
      </c>
      <c r="D29" s="34" t="s">
        <v>73</v>
      </c>
      <c r="E29" s="7" t="s">
        <v>259</v>
      </c>
      <c r="F29" s="9"/>
    </row>
    <row r="30" spans="1:6" x14ac:dyDescent="0.25">
      <c r="A30" s="69">
        <v>28</v>
      </c>
      <c r="B30" s="73" t="s">
        <v>78</v>
      </c>
      <c r="C30" s="47" t="s">
        <v>49</v>
      </c>
      <c r="D30" s="34" t="s">
        <v>73</v>
      </c>
      <c r="E30" s="7"/>
      <c r="F30" s="9"/>
    </row>
    <row r="31" spans="1:6" x14ac:dyDescent="0.25">
      <c r="A31" s="69">
        <v>29</v>
      </c>
      <c r="B31" s="73" t="s">
        <v>92</v>
      </c>
      <c r="C31" s="47" t="s">
        <v>50</v>
      </c>
      <c r="D31" s="34" t="s">
        <v>73</v>
      </c>
      <c r="E31" s="7" t="s">
        <v>260</v>
      </c>
      <c r="F31" s="9"/>
    </row>
    <row r="32" spans="1:6" x14ac:dyDescent="0.25">
      <c r="A32" s="69">
        <v>30</v>
      </c>
      <c r="B32" s="73" t="s">
        <v>90</v>
      </c>
      <c r="C32" s="47" t="s">
        <v>51</v>
      </c>
      <c r="D32" s="34" t="s">
        <v>73</v>
      </c>
      <c r="E32" s="7"/>
      <c r="F32" s="9"/>
    </row>
    <row r="33" spans="1:6" x14ac:dyDescent="0.25">
      <c r="A33" s="69">
        <v>31</v>
      </c>
      <c r="B33" s="74" t="s">
        <v>85</v>
      </c>
      <c r="C33" s="47" t="s">
        <v>52</v>
      </c>
      <c r="D33" s="34" t="s">
        <v>73</v>
      </c>
      <c r="E33" s="7"/>
      <c r="F33" s="9"/>
    </row>
    <row r="34" spans="1:6" x14ac:dyDescent="0.25">
      <c r="A34" s="69">
        <v>32</v>
      </c>
      <c r="B34" s="72" t="s">
        <v>84</v>
      </c>
      <c r="C34" s="47" t="s">
        <v>53</v>
      </c>
      <c r="D34" s="34" t="s">
        <v>73</v>
      </c>
      <c r="E34" s="7"/>
      <c r="F34" s="9"/>
    </row>
    <row r="35" spans="1:6" x14ac:dyDescent="0.25">
      <c r="A35" s="69">
        <v>33</v>
      </c>
      <c r="B35" s="73" t="s">
        <v>79</v>
      </c>
      <c r="C35" s="47" t="s">
        <v>54</v>
      </c>
      <c r="D35" s="34" t="s">
        <v>73</v>
      </c>
      <c r="E35" s="7"/>
      <c r="F35" s="9"/>
    </row>
    <row r="36" spans="1:6" x14ac:dyDescent="0.25">
      <c r="A36" s="69">
        <v>34</v>
      </c>
      <c r="B36" s="74" t="s">
        <v>85</v>
      </c>
      <c r="C36" s="47" t="s">
        <v>55</v>
      </c>
      <c r="D36" s="34" t="s">
        <v>73</v>
      </c>
      <c r="E36" s="7"/>
      <c r="F36" s="9"/>
    </row>
    <row r="37" spans="1:6" x14ac:dyDescent="0.25">
      <c r="A37" s="69">
        <v>35</v>
      </c>
      <c r="B37" s="73" t="s">
        <v>78</v>
      </c>
      <c r="C37" s="47" t="s">
        <v>56</v>
      </c>
      <c r="D37" s="34" t="s">
        <v>73</v>
      </c>
      <c r="E37" s="7"/>
      <c r="F37" s="8"/>
    </row>
    <row r="38" spans="1:6" x14ac:dyDescent="0.25">
      <c r="A38" s="69">
        <v>36</v>
      </c>
      <c r="B38" s="73" t="s">
        <v>92</v>
      </c>
      <c r="C38" s="47" t="s">
        <v>57</v>
      </c>
      <c r="D38" s="34" t="s">
        <v>73</v>
      </c>
      <c r="E38" s="7"/>
      <c r="F38" s="9"/>
    </row>
    <row r="39" spans="1:6" x14ac:dyDescent="0.25">
      <c r="A39" s="69">
        <v>37</v>
      </c>
      <c r="B39" s="73" t="s">
        <v>88</v>
      </c>
      <c r="C39" s="47" t="s">
        <v>58</v>
      </c>
      <c r="D39" s="34" t="s">
        <v>73</v>
      </c>
      <c r="E39" s="7"/>
      <c r="F39" s="9"/>
    </row>
    <row r="40" spans="1:6" x14ac:dyDescent="0.25">
      <c r="A40" s="69">
        <v>38</v>
      </c>
      <c r="B40" s="72" t="s">
        <v>84</v>
      </c>
      <c r="C40" s="47" t="s">
        <v>59</v>
      </c>
      <c r="D40" s="19" t="s">
        <v>74</v>
      </c>
      <c r="E40" s="7" t="s">
        <v>253</v>
      </c>
      <c r="F40" s="9"/>
    </row>
    <row r="41" spans="1:6" x14ac:dyDescent="0.25">
      <c r="A41" s="69">
        <v>39</v>
      </c>
      <c r="B41" s="72" t="s">
        <v>98</v>
      </c>
      <c r="C41" s="47" t="s">
        <v>99</v>
      </c>
      <c r="D41" s="34" t="s">
        <v>73</v>
      </c>
      <c r="E41" s="7"/>
      <c r="F41" s="9"/>
    </row>
    <row r="42" spans="1:6" x14ac:dyDescent="0.25">
      <c r="A42" s="69">
        <v>40</v>
      </c>
      <c r="B42" s="73" t="s">
        <v>8</v>
      </c>
      <c r="C42" s="47" t="s">
        <v>62</v>
      </c>
      <c r="D42" s="34" t="s">
        <v>73</v>
      </c>
      <c r="E42" s="7"/>
      <c r="F42" s="9"/>
    </row>
    <row r="43" spans="1:6" x14ac:dyDescent="0.25">
      <c r="A43" s="69">
        <v>41</v>
      </c>
      <c r="B43" s="73" t="s">
        <v>93</v>
      </c>
      <c r="C43" s="47" t="s">
        <v>63</v>
      </c>
      <c r="D43" s="34" t="s">
        <v>73</v>
      </c>
      <c r="E43" s="7"/>
      <c r="F43" s="9"/>
    </row>
    <row r="44" spans="1:6" x14ac:dyDescent="0.25">
      <c r="A44" s="69">
        <v>42</v>
      </c>
      <c r="B44" s="73" t="s">
        <v>77</v>
      </c>
      <c r="C44" s="47" t="s">
        <v>65</v>
      </c>
      <c r="D44" s="34" t="s">
        <v>73</v>
      </c>
      <c r="E44" s="7" t="s">
        <v>261</v>
      </c>
      <c r="F44" s="9"/>
    </row>
    <row r="45" spans="1:6" x14ac:dyDescent="0.25">
      <c r="A45" s="69">
        <v>43</v>
      </c>
      <c r="B45" s="73" t="s">
        <v>95</v>
      </c>
      <c r="C45" s="47" t="s">
        <v>60</v>
      </c>
      <c r="D45" s="34" t="s">
        <v>73</v>
      </c>
      <c r="E45" s="7"/>
      <c r="F45" s="9"/>
    </row>
    <row r="46" spans="1:6" x14ac:dyDescent="0.25">
      <c r="A46" s="69">
        <v>44</v>
      </c>
      <c r="B46" s="73" t="s">
        <v>96</v>
      </c>
      <c r="C46" s="47" t="s">
        <v>61</v>
      </c>
      <c r="D46" s="34" t="s">
        <v>73</v>
      </c>
      <c r="E46" s="7"/>
      <c r="F46" s="9"/>
    </row>
    <row r="47" spans="1:6" x14ac:dyDescent="0.25">
      <c r="A47" s="69">
        <v>45</v>
      </c>
      <c r="B47" s="73" t="s">
        <v>91</v>
      </c>
      <c r="C47" s="47" t="s">
        <v>64</v>
      </c>
      <c r="D47" s="34" t="s">
        <v>73</v>
      </c>
      <c r="E47" s="7"/>
      <c r="F47" s="9"/>
    </row>
    <row r="48" spans="1:6" x14ac:dyDescent="0.25">
      <c r="A48" s="69">
        <v>46</v>
      </c>
      <c r="B48" s="73" t="s">
        <v>88</v>
      </c>
      <c r="C48" s="47" t="s">
        <v>23</v>
      </c>
      <c r="D48" s="34" t="s">
        <v>73</v>
      </c>
      <c r="E48" s="7"/>
      <c r="F48" s="9"/>
    </row>
    <row r="49" spans="1:6" x14ac:dyDescent="0.25">
      <c r="A49" s="69">
        <v>47</v>
      </c>
      <c r="B49" s="73" t="s">
        <v>81</v>
      </c>
      <c r="C49" s="47" t="s">
        <v>24</v>
      </c>
      <c r="D49" s="34" t="s">
        <v>73</v>
      </c>
      <c r="E49" s="7" t="s">
        <v>262</v>
      </c>
      <c r="F49" s="9"/>
    </row>
    <row r="50" spans="1:6" x14ac:dyDescent="0.25">
      <c r="A50" s="69">
        <v>48</v>
      </c>
      <c r="B50" s="73" t="s">
        <v>81</v>
      </c>
      <c r="C50" s="47" t="s">
        <v>25</v>
      </c>
      <c r="D50" s="34" t="s">
        <v>73</v>
      </c>
      <c r="E50" s="7" t="s">
        <v>263</v>
      </c>
      <c r="F50" s="9"/>
    </row>
    <row r="51" spans="1:6" x14ac:dyDescent="0.25">
      <c r="A51" s="69">
        <v>49</v>
      </c>
      <c r="B51" s="74" t="s">
        <v>100</v>
      </c>
      <c r="C51" s="47" t="s">
        <v>26</v>
      </c>
      <c r="D51" s="19" t="s">
        <v>74</v>
      </c>
      <c r="E51" s="7" t="s">
        <v>247</v>
      </c>
      <c r="F51" s="9" t="s">
        <v>268</v>
      </c>
    </row>
    <row r="52" spans="1:6" x14ac:dyDescent="0.25">
      <c r="A52" s="69">
        <v>50</v>
      </c>
      <c r="B52" s="74" t="s">
        <v>100</v>
      </c>
      <c r="C52" s="47" t="s">
        <v>27</v>
      </c>
      <c r="D52" s="34" t="s">
        <v>73</v>
      </c>
      <c r="E52" s="21"/>
      <c r="F52" s="9"/>
    </row>
    <row r="53" spans="1:6" x14ac:dyDescent="0.25">
      <c r="A53" s="69">
        <v>51</v>
      </c>
      <c r="B53" s="74" t="s">
        <v>100</v>
      </c>
      <c r="C53" s="47" t="s">
        <v>28</v>
      </c>
      <c r="D53" s="34" t="s">
        <v>73</v>
      </c>
      <c r="E53" s="7" t="s">
        <v>266</v>
      </c>
      <c r="F53" s="9"/>
    </row>
    <row r="54" spans="1:6" x14ac:dyDescent="0.25">
      <c r="A54" s="69">
        <v>52</v>
      </c>
      <c r="B54" s="74" t="s">
        <v>100</v>
      </c>
      <c r="C54" s="47" t="s">
        <v>29</v>
      </c>
      <c r="D54" s="34" t="s">
        <v>73</v>
      </c>
      <c r="E54" s="21" t="s">
        <v>267</v>
      </c>
      <c r="F54" s="9"/>
    </row>
    <row r="55" spans="1:6" x14ac:dyDescent="0.25">
      <c r="A55" s="69">
        <v>53</v>
      </c>
      <c r="B55" s="74" t="s">
        <v>100</v>
      </c>
      <c r="C55" s="49" t="s">
        <v>30</v>
      </c>
      <c r="D55" s="34" t="s">
        <v>73</v>
      </c>
      <c r="E55" s="7"/>
      <c r="F55" s="9"/>
    </row>
    <row r="56" spans="1:6" x14ac:dyDescent="0.25">
      <c r="A56" s="69">
        <v>54</v>
      </c>
      <c r="B56" s="72" t="s">
        <v>84</v>
      </c>
      <c r="C56" s="49" t="s">
        <v>31</v>
      </c>
      <c r="D56" s="34" t="s">
        <v>73</v>
      </c>
      <c r="E56" s="7"/>
      <c r="F56" s="9"/>
    </row>
    <row r="57" spans="1:6" x14ac:dyDescent="0.25">
      <c r="A57" s="69">
        <v>55</v>
      </c>
      <c r="B57" s="74" t="s">
        <v>85</v>
      </c>
      <c r="C57" s="49" t="s">
        <v>32</v>
      </c>
      <c r="D57" s="34" t="s">
        <v>73</v>
      </c>
      <c r="E57" s="7"/>
      <c r="F57" s="9"/>
    </row>
    <row r="58" spans="1:6" x14ac:dyDescent="0.25">
      <c r="A58" s="69">
        <v>56</v>
      </c>
      <c r="B58" s="74" t="s">
        <v>123</v>
      </c>
      <c r="C58" s="49" t="s">
        <v>33</v>
      </c>
      <c r="D58" s="34" t="s">
        <v>73</v>
      </c>
      <c r="E58" s="7"/>
      <c r="F58" s="9"/>
    </row>
    <row r="59" spans="1:6" x14ac:dyDescent="0.25">
      <c r="A59" s="69">
        <v>57</v>
      </c>
      <c r="B59" s="74" t="s">
        <v>82</v>
      </c>
      <c r="C59" s="49" t="s">
        <v>34</v>
      </c>
      <c r="D59" s="34" t="s">
        <v>73</v>
      </c>
      <c r="E59" s="7"/>
      <c r="F59" s="9"/>
    </row>
    <row r="60" spans="1:6" x14ac:dyDescent="0.25">
      <c r="A60" s="69">
        <v>58</v>
      </c>
      <c r="B60" s="74" t="s">
        <v>82</v>
      </c>
      <c r="C60" s="49" t="s">
        <v>35</v>
      </c>
      <c r="D60" s="34" t="s">
        <v>73</v>
      </c>
      <c r="E60" s="7"/>
      <c r="F60" s="9"/>
    </row>
    <row r="61" spans="1:6" x14ac:dyDescent="0.25">
      <c r="A61" s="69">
        <v>59</v>
      </c>
      <c r="B61" s="74" t="s">
        <v>107</v>
      </c>
      <c r="C61" s="49" t="s">
        <v>36</v>
      </c>
      <c r="D61" s="34" t="s">
        <v>73</v>
      </c>
      <c r="E61" s="3"/>
      <c r="F61" s="8"/>
    </row>
    <row r="62" spans="1:6" x14ac:dyDescent="0.25">
      <c r="A62" s="69">
        <v>60</v>
      </c>
      <c r="B62" s="74" t="s">
        <v>100</v>
      </c>
      <c r="C62" s="49" t="s">
        <v>68</v>
      </c>
      <c r="D62" s="34" t="s">
        <v>73</v>
      </c>
      <c r="E62" s="7"/>
      <c r="F62" s="9"/>
    </row>
    <row r="63" spans="1:6" x14ac:dyDescent="0.25">
      <c r="A63" s="70">
        <v>61</v>
      </c>
      <c r="B63" s="74" t="s">
        <v>100</v>
      </c>
      <c r="C63" s="49" t="s">
        <v>108</v>
      </c>
      <c r="D63" s="34" t="s">
        <v>73</v>
      </c>
      <c r="E63" s="7"/>
      <c r="F63" s="9"/>
    </row>
    <row r="64" spans="1:6" x14ac:dyDescent="0.25">
      <c r="A64" s="71">
        <v>62</v>
      </c>
      <c r="B64" s="74" t="s">
        <v>212</v>
      </c>
      <c r="C64" s="64" t="s">
        <v>124</v>
      </c>
      <c r="D64" s="65" t="s">
        <v>73</v>
      </c>
      <c r="E64" s="66"/>
      <c r="F64" s="67"/>
    </row>
    <row r="65" spans="1:6" x14ac:dyDescent="0.25">
      <c r="A65" s="70">
        <v>63</v>
      </c>
      <c r="B65" s="75" t="s">
        <v>77</v>
      </c>
      <c r="C65" s="49" t="s">
        <v>214</v>
      </c>
      <c r="D65" s="76" t="s">
        <v>73</v>
      </c>
      <c r="E65" s="7"/>
      <c r="F65" s="9"/>
    </row>
    <row r="66" spans="1:6" x14ac:dyDescent="0.25">
      <c r="A66" s="70">
        <v>64</v>
      </c>
      <c r="B66" s="74" t="s">
        <v>84</v>
      </c>
      <c r="C66" s="49" t="s">
        <v>215</v>
      </c>
      <c r="D66" s="76" t="s">
        <v>73</v>
      </c>
      <c r="E66" s="7"/>
      <c r="F66" s="9"/>
    </row>
    <row r="67" spans="1:6" x14ac:dyDescent="0.25">
      <c r="A67" s="119">
        <v>65</v>
      </c>
      <c r="B67" s="74" t="s">
        <v>87</v>
      </c>
      <c r="C67" s="117" t="s">
        <v>217</v>
      </c>
      <c r="D67" s="76" t="s">
        <v>73</v>
      </c>
      <c r="E67" s="7"/>
      <c r="F67" s="118"/>
    </row>
    <row r="68" spans="1:6" ht="15.75" thickBot="1" x14ac:dyDescent="0.3">
      <c r="A68" s="78">
        <v>66</v>
      </c>
      <c r="B68" s="120" t="s">
        <v>84</v>
      </c>
      <c r="C68" s="79" t="s">
        <v>19</v>
      </c>
      <c r="D68" s="77" t="s">
        <v>73</v>
      </c>
      <c r="E68" s="116" t="s">
        <v>264</v>
      </c>
      <c r="F68" s="80" t="s">
        <v>265</v>
      </c>
    </row>
    <row r="69" spans="1:6" x14ac:dyDescent="0.25">
      <c r="A69" s="45"/>
      <c r="B69" s="30"/>
      <c r="C69" s="31"/>
      <c r="D69" s="31"/>
      <c r="E69" s="32"/>
      <c r="F69" s="33"/>
    </row>
    <row r="71" spans="1:6" x14ac:dyDescent="0.25">
      <c r="B71" s="27" t="s">
        <v>69</v>
      </c>
      <c r="C71" s="28"/>
      <c r="D71" s="13"/>
    </row>
    <row r="72" spans="1:6" x14ac:dyDescent="0.25">
      <c r="B72" s="14"/>
      <c r="C72" s="15"/>
      <c r="D72" s="16"/>
    </row>
    <row r="73" spans="1:6" x14ac:dyDescent="0.25">
      <c r="B73" s="17" t="s">
        <v>70</v>
      </c>
      <c r="C73" s="26" t="s">
        <v>223</v>
      </c>
      <c r="D73" s="16"/>
    </row>
    <row r="74" spans="1:6" x14ac:dyDescent="0.25">
      <c r="B74" s="17" t="s">
        <v>71</v>
      </c>
      <c r="C74" s="26" t="s">
        <v>219</v>
      </c>
      <c r="D74" s="15" t="s">
        <v>220</v>
      </c>
    </row>
    <row r="75" spans="1:6" x14ac:dyDescent="0.25">
      <c r="B75" s="17" t="s">
        <v>72</v>
      </c>
      <c r="C75" s="25" t="s">
        <v>222</v>
      </c>
      <c r="D75" s="29" t="s">
        <v>226</v>
      </c>
    </row>
    <row r="76" spans="1:6" x14ac:dyDescent="0.25">
      <c r="B76" s="18" t="s">
        <v>109</v>
      </c>
      <c r="C76" s="24" t="s">
        <v>213</v>
      </c>
      <c r="D76" s="29"/>
      <c r="E76" s="1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76"/>
  <sheetViews>
    <sheetView topLeftCell="A40" workbookViewId="0">
      <selection activeCell="E55" sqref="E55"/>
    </sheetView>
  </sheetViews>
  <sheetFormatPr defaultRowHeight="15" x14ac:dyDescent="0.25"/>
  <cols>
    <col min="1" max="1" width="3.42578125" bestFit="1" customWidth="1"/>
    <col min="2" max="2" width="17.5703125" customWidth="1"/>
    <col min="3" max="3" width="10.140625" customWidth="1"/>
    <col min="4" max="4" width="30.5703125" customWidth="1"/>
    <col min="5" max="5" width="75.140625" customWidth="1"/>
    <col min="6" max="6" width="50.140625" bestFit="1" customWidth="1"/>
    <col min="8" max="8" width="27.28515625" customWidth="1"/>
    <col min="9" max="9" width="10.85546875" customWidth="1"/>
    <col min="10" max="10" width="11" customWidth="1"/>
    <col min="11" max="11" width="11" bestFit="1" customWidth="1"/>
  </cols>
  <sheetData>
    <row r="1" spans="1:11" ht="16.5" thickBot="1" x14ac:dyDescent="0.3">
      <c r="A1" s="4"/>
      <c r="B1" s="5"/>
      <c r="C1" s="2"/>
      <c r="D1" s="5"/>
      <c r="E1" s="12" t="s">
        <v>269</v>
      </c>
      <c r="F1" s="6"/>
    </row>
    <row r="2" spans="1:11" ht="15.75" thickBot="1" x14ac:dyDescent="0.3">
      <c r="A2" s="68" t="s">
        <v>0</v>
      </c>
      <c r="B2" s="110" t="s">
        <v>1</v>
      </c>
      <c r="C2" s="111" t="s">
        <v>2</v>
      </c>
      <c r="D2" s="112" t="s">
        <v>121</v>
      </c>
      <c r="E2" s="113" t="s">
        <v>45</v>
      </c>
      <c r="F2" s="114" t="s">
        <v>102</v>
      </c>
      <c r="H2" s="44"/>
      <c r="I2" s="85" t="s">
        <v>110</v>
      </c>
      <c r="J2" s="41" t="s">
        <v>111</v>
      </c>
      <c r="K2" s="42" t="s">
        <v>120</v>
      </c>
    </row>
    <row r="3" spans="1:11" x14ac:dyDescent="0.25">
      <c r="A3" s="115">
        <v>1</v>
      </c>
      <c r="B3" s="81" t="s">
        <v>84</v>
      </c>
      <c r="C3" s="46" t="s">
        <v>66</v>
      </c>
      <c r="D3" s="50" t="s">
        <v>73</v>
      </c>
      <c r="E3" s="22"/>
      <c r="F3" s="23"/>
      <c r="H3" s="35" t="s">
        <v>112</v>
      </c>
      <c r="I3" s="86">
        <v>9</v>
      </c>
      <c r="J3" s="86">
        <v>2</v>
      </c>
      <c r="K3" s="94">
        <f t="shared" ref="K3:K13" si="0">((I3-J3)/I3)</f>
        <v>0.77777777777777779</v>
      </c>
    </row>
    <row r="4" spans="1:11" x14ac:dyDescent="0.25">
      <c r="A4" s="69">
        <v>2</v>
      </c>
      <c r="B4" s="72" t="s">
        <v>84</v>
      </c>
      <c r="C4" s="48" t="s">
        <v>67</v>
      </c>
      <c r="D4" s="34" t="s">
        <v>73</v>
      </c>
      <c r="E4" s="7"/>
      <c r="F4" s="9"/>
      <c r="H4" s="43" t="s">
        <v>117</v>
      </c>
      <c r="I4" s="87">
        <v>33</v>
      </c>
      <c r="J4" s="87">
        <v>2</v>
      </c>
      <c r="K4" s="95">
        <f t="shared" si="0"/>
        <v>0.93939393939393945</v>
      </c>
    </row>
    <row r="5" spans="1:11" x14ac:dyDescent="0.25">
      <c r="A5" s="69">
        <v>3</v>
      </c>
      <c r="B5" s="72" t="s">
        <v>103</v>
      </c>
      <c r="C5" s="48" t="s">
        <v>104</v>
      </c>
      <c r="D5" s="34" t="s">
        <v>73</v>
      </c>
      <c r="E5" s="7"/>
      <c r="F5" s="9"/>
      <c r="H5" s="43" t="s">
        <v>116</v>
      </c>
      <c r="I5" s="87">
        <v>2</v>
      </c>
      <c r="J5" s="87">
        <v>0</v>
      </c>
      <c r="K5" s="95">
        <f t="shared" si="0"/>
        <v>1</v>
      </c>
    </row>
    <row r="6" spans="1:11" x14ac:dyDescent="0.25">
      <c r="A6" s="69">
        <v>4</v>
      </c>
      <c r="B6" s="72" t="s">
        <v>105</v>
      </c>
      <c r="C6" s="48" t="s">
        <v>106</v>
      </c>
      <c r="D6" s="34" t="s">
        <v>73</v>
      </c>
      <c r="E6" s="7"/>
      <c r="F6" s="9"/>
      <c r="H6" s="43" t="s">
        <v>115</v>
      </c>
      <c r="I6" s="87">
        <v>2</v>
      </c>
      <c r="J6" s="87">
        <v>1</v>
      </c>
      <c r="K6" s="95">
        <f>((I6-J6)/I6)</f>
        <v>0.5</v>
      </c>
    </row>
    <row r="7" spans="1:11" x14ac:dyDescent="0.25">
      <c r="A7" s="69">
        <v>5</v>
      </c>
      <c r="B7" s="72" t="s">
        <v>86</v>
      </c>
      <c r="C7" s="48" t="s">
        <v>83</v>
      </c>
      <c r="D7" s="34" t="s">
        <v>73</v>
      </c>
      <c r="E7" s="7"/>
      <c r="F7" s="9"/>
      <c r="H7" s="36" t="s">
        <v>113</v>
      </c>
      <c r="I7" s="88">
        <v>4</v>
      </c>
      <c r="J7" s="88">
        <v>0</v>
      </c>
      <c r="K7" s="96">
        <f t="shared" si="0"/>
        <v>1</v>
      </c>
    </row>
    <row r="8" spans="1:11" x14ac:dyDescent="0.25">
      <c r="A8" s="69">
        <v>6</v>
      </c>
      <c r="B8" s="73" t="s">
        <v>87</v>
      </c>
      <c r="C8" s="47" t="s">
        <v>75</v>
      </c>
      <c r="D8" s="19" t="s">
        <v>74</v>
      </c>
      <c r="E8" s="20" t="s">
        <v>279</v>
      </c>
      <c r="F8" s="8"/>
      <c r="H8" s="37" t="s">
        <v>114</v>
      </c>
      <c r="I8" s="89">
        <v>1</v>
      </c>
      <c r="J8" s="89">
        <v>0</v>
      </c>
      <c r="K8" s="97">
        <f t="shared" si="0"/>
        <v>1</v>
      </c>
    </row>
    <row r="9" spans="1:11" x14ac:dyDescent="0.25">
      <c r="A9" s="69">
        <v>7</v>
      </c>
      <c r="B9" s="73" t="s">
        <v>8</v>
      </c>
      <c r="C9" s="47" t="s">
        <v>9</v>
      </c>
      <c r="D9" s="34" t="s">
        <v>73</v>
      </c>
      <c r="E9" s="20"/>
      <c r="F9" s="8"/>
      <c r="H9" s="38" t="s">
        <v>4</v>
      </c>
      <c r="I9" s="90">
        <v>3</v>
      </c>
      <c r="J9" s="102">
        <v>0</v>
      </c>
      <c r="K9" s="98">
        <f t="shared" si="0"/>
        <v>1</v>
      </c>
    </row>
    <row r="10" spans="1:11" x14ac:dyDescent="0.25">
      <c r="A10" s="69">
        <v>8</v>
      </c>
      <c r="B10" s="73" t="s">
        <v>88</v>
      </c>
      <c r="C10" s="47" t="s">
        <v>10</v>
      </c>
      <c r="D10" s="19" t="s">
        <v>74</v>
      </c>
      <c r="E10" s="7" t="s">
        <v>221</v>
      </c>
      <c r="F10" s="8" t="s">
        <v>216</v>
      </c>
      <c r="H10" s="39" t="s">
        <v>5</v>
      </c>
      <c r="I10" s="91">
        <v>1</v>
      </c>
      <c r="J10" s="91">
        <v>0</v>
      </c>
      <c r="K10" s="99">
        <f t="shared" si="0"/>
        <v>1</v>
      </c>
    </row>
    <row r="11" spans="1:11" x14ac:dyDescent="0.25">
      <c r="A11" s="69">
        <v>9</v>
      </c>
      <c r="B11" s="73" t="s">
        <v>76</v>
      </c>
      <c r="C11" s="47" t="s">
        <v>11</v>
      </c>
      <c r="D11" s="34" t="s">
        <v>73</v>
      </c>
      <c r="E11" s="7"/>
      <c r="F11" s="8"/>
      <c r="H11" s="40" t="s">
        <v>119</v>
      </c>
      <c r="I11" s="92">
        <v>1</v>
      </c>
      <c r="J11" s="103">
        <v>0</v>
      </c>
      <c r="K11" s="100">
        <f t="shared" si="0"/>
        <v>1</v>
      </c>
    </row>
    <row r="12" spans="1:11" x14ac:dyDescent="0.25">
      <c r="A12" s="69">
        <v>10</v>
      </c>
      <c r="B12" s="74" t="s">
        <v>85</v>
      </c>
      <c r="C12" s="47" t="s">
        <v>12</v>
      </c>
      <c r="D12" s="34" t="s">
        <v>73</v>
      </c>
      <c r="E12" s="7"/>
      <c r="F12" s="9"/>
      <c r="H12" s="40" t="s">
        <v>118</v>
      </c>
      <c r="I12" s="92">
        <v>2</v>
      </c>
      <c r="J12" s="103">
        <v>0</v>
      </c>
      <c r="K12" s="100">
        <f t="shared" si="0"/>
        <v>1</v>
      </c>
    </row>
    <row r="13" spans="1:11" x14ac:dyDescent="0.25">
      <c r="A13" s="69">
        <v>11</v>
      </c>
      <c r="B13" s="73" t="s">
        <v>6</v>
      </c>
      <c r="C13" s="47" t="s">
        <v>13</v>
      </c>
      <c r="D13" s="34" t="s">
        <v>73</v>
      </c>
      <c r="E13" s="7"/>
      <c r="F13" s="9"/>
      <c r="H13" s="84" t="s">
        <v>3</v>
      </c>
      <c r="I13" s="93">
        <v>2</v>
      </c>
      <c r="J13" s="93">
        <v>0</v>
      </c>
      <c r="K13" s="101">
        <f t="shared" si="0"/>
        <v>1</v>
      </c>
    </row>
    <row r="14" spans="1:11" x14ac:dyDescent="0.25">
      <c r="A14" s="69">
        <v>12</v>
      </c>
      <c r="B14" s="73" t="s">
        <v>89</v>
      </c>
      <c r="C14" s="47" t="s">
        <v>14</v>
      </c>
      <c r="D14" s="34" t="s">
        <v>73</v>
      </c>
      <c r="E14" s="7"/>
      <c r="F14" s="9"/>
      <c r="H14" s="109" t="s">
        <v>218</v>
      </c>
      <c r="I14" s="104">
        <v>5</v>
      </c>
      <c r="J14" s="104">
        <v>1</v>
      </c>
      <c r="K14" s="105">
        <f>((I14-J14)/I14)</f>
        <v>0.8</v>
      </c>
    </row>
    <row r="15" spans="1:11" ht="15.75" thickBot="1" x14ac:dyDescent="0.3">
      <c r="A15" s="69">
        <v>13</v>
      </c>
      <c r="B15" s="73" t="s">
        <v>77</v>
      </c>
      <c r="C15" s="47" t="s">
        <v>15</v>
      </c>
      <c r="D15" s="34" t="s">
        <v>73</v>
      </c>
      <c r="E15" s="7"/>
      <c r="F15" s="9"/>
      <c r="G15" s="83"/>
      <c r="H15" s="84" t="s">
        <v>236</v>
      </c>
      <c r="I15" s="93">
        <v>1</v>
      </c>
      <c r="J15" s="93">
        <v>0</v>
      </c>
      <c r="K15" s="101">
        <f t="shared" ref="K15" si="1">((I15-J15)/I15)</f>
        <v>1</v>
      </c>
    </row>
    <row r="16" spans="1:11" ht="15.75" thickBot="1" x14ac:dyDescent="0.3">
      <c r="A16" s="69">
        <v>14</v>
      </c>
      <c r="B16" s="72" t="s">
        <v>84</v>
      </c>
      <c r="C16" s="47" t="s">
        <v>16</v>
      </c>
      <c r="D16" s="34" t="s">
        <v>73</v>
      </c>
      <c r="E16" s="7"/>
      <c r="F16" s="9"/>
      <c r="H16" s="106" t="s">
        <v>122</v>
      </c>
      <c r="I16" s="107">
        <f>SUM(I3:I15)</f>
        <v>66</v>
      </c>
      <c r="J16" s="107">
        <f>SUM(J3:J15)</f>
        <v>6</v>
      </c>
      <c r="K16" s="108">
        <f>((I16-J16)/I16)</f>
        <v>0.90909090909090906</v>
      </c>
    </row>
    <row r="17" spans="1:6" x14ac:dyDescent="0.25">
      <c r="A17" s="69">
        <v>15</v>
      </c>
      <c r="B17" s="74" t="s">
        <v>85</v>
      </c>
      <c r="C17" s="47" t="s">
        <v>21</v>
      </c>
      <c r="D17" s="34" t="s">
        <v>73</v>
      </c>
      <c r="E17" s="7"/>
      <c r="F17" s="9"/>
    </row>
    <row r="18" spans="1:6" x14ac:dyDescent="0.25">
      <c r="A18" s="69">
        <v>16</v>
      </c>
      <c r="B18" s="73" t="s">
        <v>79</v>
      </c>
      <c r="C18" s="47" t="s">
        <v>22</v>
      </c>
      <c r="D18" s="19" t="s">
        <v>74</v>
      </c>
      <c r="E18" s="7" t="s">
        <v>240</v>
      </c>
      <c r="F18" s="9" t="s">
        <v>243</v>
      </c>
    </row>
    <row r="19" spans="1:6" x14ac:dyDescent="0.25">
      <c r="A19" s="69">
        <v>17</v>
      </c>
      <c r="B19" s="74" t="s">
        <v>85</v>
      </c>
      <c r="C19" s="47" t="s">
        <v>46</v>
      </c>
      <c r="D19" s="34" t="s">
        <v>73</v>
      </c>
      <c r="E19" s="7"/>
      <c r="F19" s="9"/>
    </row>
    <row r="20" spans="1:6" x14ac:dyDescent="0.25">
      <c r="A20" s="69">
        <v>18</v>
      </c>
      <c r="B20" s="73" t="s">
        <v>90</v>
      </c>
      <c r="C20" s="47" t="s">
        <v>38</v>
      </c>
      <c r="D20" s="34" t="s">
        <v>73</v>
      </c>
      <c r="E20" s="7" t="s">
        <v>277</v>
      </c>
      <c r="F20" s="9"/>
    </row>
    <row r="21" spans="1:6" x14ac:dyDescent="0.25">
      <c r="A21" s="69">
        <v>19</v>
      </c>
      <c r="B21" s="73" t="s">
        <v>91</v>
      </c>
      <c r="C21" s="47" t="s">
        <v>44</v>
      </c>
      <c r="D21" s="34" t="s">
        <v>73</v>
      </c>
      <c r="E21" s="7"/>
      <c r="F21" s="9"/>
    </row>
    <row r="22" spans="1:6" x14ac:dyDescent="0.25">
      <c r="A22" s="69">
        <v>20</v>
      </c>
      <c r="B22" s="73" t="s">
        <v>77</v>
      </c>
      <c r="C22" s="47" t="s">
        <v>37</v>
      </c>
      <c r="D22" s="34" t="s">
        <v>73</v>
      </c>
      <c r="E22" s="7"/>
      <c r="F22" s="9"/>
    </row>
    <row r="23" spans="1:6" x14ac:dyDescent="0.25">
      <c r="A23" s="69">
        <v>21</v>
      </c>
      <c r="B23" s="73" t="s">
        <v>92</v>
      </c>
      <c r="C23" s="47" t="s">
        <v>39</v>
      </c>
      <c r="D23" s="34" t="s">
        <v>73</v>
      </c>
      <c r="E23" s="7"/>
      <c r="F23" s="9"/>
    </row>
    <row r="24" spans="1:6" x14ac:dyDescent="0.25">
      <c r="A24" s="69">
        <v>22</v>
      </c>
      <c r="B24" s="73" t="s">
        <v>97</v>
      </c>
      <c r="C24" s="47" t="s">
        <v>42</v>
      </c>
      <c r="D24" s="34" t="s">
        <v>73</v>
      </c>
      <c r="E24" s="7" t="s">
        <v>276</v>
      </c>
      <c r="F24" s="9"/>
    </row>
    <row r="25" spans="1:6" x14ac:dyDescent="0.25">
      <c r="A25" s="69">
        <v>23</v>
      </c>
      <c r="B25" s="73" t="s">
        <v>93</v>
      </c>
      <c r="C25" s="47" t="s">
        <v>43</v>
      </c>
      <c r="D25" s="19" t="s">
        <v>74</v>
      </c>
      <c r="E25" s="7" t="s">
        <v>242</v>
      </c>
      <c r="F25" s="9" t="s">
        <v>243</v>
      </c>
    </row>
    <row r="26" spans="1:6" x14ac:dyDescent="0.25">
      <c r="A26" s="69">
        <v>24</v>
      </c>
      <c r="B26" s="73" t="s">
        <v>123</v>
      </c>
      <c r="C26" s="47" t="s">
        <v>40</v>
      </c>
      <c r="D26" s="34" t="s">
        <v>73</v>
      </c>
      <c r="E26" s="7"/>
      <c r="F26" s="9"/>
    </row>
    <row r="27" spans="1:6" x14ac:dyDescent="0.25">
      <c r="A27" s="69">
        <v>25</v>
      </c>
      <c r="B27" s="73" t="s">
        <v>78</v>
      </c>
      <c r="C27" s="47" t="s">
        <v>41</v>
      </c>
      <c r="D27" s="34" t="s">
        <v>73</v>
      </c>
      <c r="E27" s="7"/>
      <c r="F27" s="9"/>
    </row>
    <row r="28" spans="1:6" x14ac:dyDescent="0.25">
      <c r="A28" s="69">
        <v>26</v>
      </c>
      <c r="B28" s="73" t="s">
        <v>80</v>
      </c>
      <c r="C28" s="47" t="s">
        <v>47</v>
      </c>
      <c r="D28" s="34" t="s">
        <v>73</v>
      </c>
      <c r="E28" s="7"/>
      <c r="F28" s="9"/>
    </row>
    <row r="29" spans="1:6" x14ac:dyDescent="0.25">
      <c r="A29" s="69">
        <v>27</v>
      </c>
      <c r="B29" s="73" t="s">
        <v>94</v>
      </c>
      <c r="C29" s="47" t="s">
        <v>48</v>
      </c>
      <c r="D29" s="34" t="s">
        <v>73</v>
      </c>
      <c r="E29" s="7"/>
      <c r="F29" s="9"/>
    </row>
    <row r="30" spans="1:6" x14ac:dyDescent="0.25">
      <c r="A30" s="69">
        <v>28</v>
      </c>
      <c r="B30" s="73" t="s">
        <v>78</v>
      </c>
      <c r="C30" s="47" t="s">
        <v>49</v>
      </c>
      <c r="D30" s="34" t="s">
        <v>73</v>
      </c>
      <c r="E30" s="7"/>
      <c r="F30" s="9"/>
    </row>
    <row r="31" spans="1:6" x14ac:dyDescent="0.25">
      <c r="A31" s="69">
        <v>29</v>
      </c>
      <c r="B31" s="73" t="s">
        <v>92</v>
      </c>
      <c r="C31" s="47" t="s">
        <v>50</v>
      </c>
      <c r="D31" s="34" t="s">
        <v>73</v>
      </c>
      <c r="E31" s="7"/>
      <c r="F31" s="9"/>
    </row>
    <row r="32" spans="1:6" x14ac:dyDescent="0.25">
      <c r="A32" s="69">
        <v>30</v>
      </c>
      <c r="B32" s="73" t="s">
        <v>90</v>
      </c>
      <c r="C32" s="47" t="s">
        <v>51</v>
      </c>
      <c r="D32" s="34" t="s">
        <v>73</v>
      </c>
      <c r="E32" s="7"/>
      <c r="F32" s="9"/>
    </row>
    <row r="33" spans="1:6" x14ac:dyDescent="0.25">
      <c r="A33" s="69">
        <v>31</v>
      </c>
      <c r="B33" s="74" t="s">
        <v>85</v>
      </c>
      <c r="C33" s="47" t="s">
        <v>52</v>
      </c>
      <c r="D33" s="34" t="s">
        <v>73</v>
      </c>
      <c r="E33" s="7" t="s">
        <v>275</v>
      </c>
      <c r="F33" s="9"/>
    </row>
    <row r="34" spans="1:6" x14ac:dyDescent="0.25">
      <c r="A34" s="69">
        <v>32</v>
      </c>
      <c r="B34" s="72" t="s">
        <v>84</v>
      </c>
      <c r="C34" s="47" t="s">
        <v>53</v>
      </c>
      <c r="D34" s="34" t="s">
        <v>73</v>
      </c>
      <c r="E34" s="7"/>
      <c r="F34" s="9"/>
    </row>
    <row r="35" spans="1:6" x14ac:dyDescent="0.25">
      <c r="A35" s="69">
        <v>33</v>
      </c>
      <c r="B35" s="73" t="s">
        <v>79</v>
      </c>
      <c r="C35" s="47" t="s">
        <v>54</v>
      </c>
      <c r="D35" s="34" t="s">
        <v>73</v>
      </c>
      <c r="E35" s="7"/>
      <c r="F35" s="9"/>
    </row>
    <row r="36" spans="1:6" x14ac:dyDescent="0.25">
      <c r="A36" s="69">
        <v>34</v>
      </c>
      <c r="B36" s="74" t="s">
        <v>85</v>
      </c>
      <c r="C36" s="47" t="s">
        <v>55</v>
      </c>
      <c r="D36" s="34" t="s">
        <v>73</v>
      </c>
      <c r="E36" s="7"/>
      <c r="F36" s="9"/>
    </row>
    <row r="37" spans="1:6" x14ac:dyDescent="0.25">
      <c r="A37" s="69">
        <v>35</v>
      </c>
      <c r="B37" s="73" t="s">
        <v>78</v>
      </c>
      <c r="C37" s="47" t="s">
        <v>56</v>
      </c>
      <c r="D37" s="34" t="s">
        <v>73</v>
      </c>
      <c r="E37" s="7"/>
      <c r="F37" s="8"/>
    </row>
    <row r="38" spans="1:6" x14ac:dyDescent="0.25">
      <c r="A38" s="69">
        <v>36</v>
      </c>
      <c r="B38" s="73" t="s">
        <v>92</v>
      </c>
      <c r="C38" s="47" t="s">
        <v>57</v>
      </c>
      <c r="D38" s="34" t="s">
        <v>73</v>
      </c>
      <c r="E38" s="7" t="s">
        <v>274</v>
      </c>
      <c r="F38" s="9"/>
    </row>
    <row r="39" spans="1:6" x14ac:dyDescent="0.25">
      <c r="A39" s="69">
        <v>37</v>
      </c>
      <c r="B39" s="73" t="s">
        <v>88</v>
      </c>
      <c r="C39" s="47" t="s">
        <v>58</v>
      </c>
      <c r="D39" s="34" t="s">
        <v>73</v>
      </c>
      <c r="E39" s="7"/>
      <c r="F39" s="9"/>
    </row>
    <row r="40" spans="1:6" x14ac:dyDescent="0.25">
      <c r="A40" s="69">
        <v>38</v>
      </c>
      <c r="B40" s="72" t="s">
        <v>84</v>
      </c>
      <c r="C40" s="47" t="s">
        <v>59</v>
      </c>
      <c r="D40" s="19" t="s">
        <v>74</v>
      </c>
      <c r="E40" s="7" t="s">
        <v>253</v>
      </c>
      <c r="F40" s="9"/>
    </row>
    <row r="41" spans="1:6" x14ac:dyDescent="0.25">
      <c r="A41" s="69">
        <v>39</v>
      </c>
      <c r="B41" s="72" t="s">
        <v>98</v>
      </c>
      <c r="C41" s="47" t="s">
        <v>99</v>
      </c>
      <c r="D41" s="34" t="s">
        <v>73</v>
      </c>
      <c r="E41" s="7"/>
      <c r="F41" s="9"/>
    </row>
    <row r="42" spans="1:6" x14ac:dyDescent="0.25">
      <c r="A42" s="69">
        <v>40</v>
      </c>
      <c r="B42" s="73" t="s">
        <v>8</v>
      </c>
      <c r="C42" s="47" t="s">
        <v>62</v>
      </c>
      <c r="D42" s="34" t="s">
        <v>73</v>
      </c>
      <c r="E42" s="7"/>
      <c r="F42" s="9"/>
    </row>
    <row r="43" spans="1:6" x14ac:dyDescent="0.25">
      <c r="A43" s="69">
        <v>41</v>
      </c>
      <c r="B43" s="73" t="s">
        <v>93</v>
      </c>
      <c r="C43" s="47" t="s">
        <v>63</v>
      </c>
      <c r="D43" s="34" t="s">
        <v>73</v>
      </c>
      <c r="E43" s="7"/>
      <c r="F43" s="9"/>
    </row>
    <row r="44" spans="1:6" x14ac:dyDescent="0.25">
      <c r="A44" s="69">
        <v>42</v>
      </c>
      <c r="B44" s="73" t="s">
        <v>77</v>
      </c>
      <c r="C44" s="47" t="s">
        <v>65</v>
      </c>
      <c r="D44" s="34" t="s">
        <v>73</v>
      </c>
      <c r="E44" s="7" t="s">
        <v>273</v>
      </c>
      <c r="F44" s="9"/>
    </row>
    <row r="45" spans="1:6" x14ac:dyDescent="0.25">
      <c r="A45" s="69">
        <v>43</v>
      </c>
      <c r="B45" s="73" t="s">
        <v>95</v>
      </c>
      <c r="C45" s="47" t="s">
        <v>60</v>
      </c>
      <c r="D45" s="34" t="s">
        <v>73</v>
      </c>
      <c r="E45" s="7"/>
      <c r="F45" s="9"/>
    </row>
    <row r="46" spans="1:6" x14ac:dyDescent="0.25">
      <c r="A46" s="69">
        <v>44</v>
      </c>
      <c r="B46" s="73" t="s">
        <v>96</v>
      </c>
      <c r="C46" s="47" t="s">
        <v>61</v>
      </c>
      <c r="D46" s="34" t="s">
        <v>73</v>
      </c>
      <c r="E46" s="7"/>
      <c r="F46" s="9"/>
    </row>
    <row r="47" spans="1:6" x14ac:dyDescent="0.25">
      <c r="A47" s="69">
        <v>45</v>
      </c>
      <c r="B47" s="73" t="s">
        <v>91</v>
      </c>
      <c r="C47" s="47" t="s">
        <v>64</v>
      </c>
      <c r="D47" s="34" t="s">
        <v>73</v>
      </c>
      <c r="E47" s="7"/>
      <c r="F47" s="9"/>
    </row>
    <row r="48" spans="1:6" x14ac:dyDescent="0.25">
      <c r="A48" s="69">
        <v>46</v>
      </c>
      <c r="B48" s="73" t="s">
        <v>88</v>
      </c>
      <c r="C48" s="47" t="s">
        <v>23</v>
      </c>
      <c r="D48" s="34" t="s">
        <v>73</v>
      </c>
      <c r="E48" s="7"/>
      <c r="F48" s="9"/>
    </row>
    <row r="49" spans="1:6" x14ac:dyDescent="0.25">
      <c r="A49" s="69">
        <v>47</v>
      </c>
      <c r="B49" s="73" t="s">
        <v>81</v>
      </c>
      <c r="C49" s="47" t="s">
        <v>24</v>
      </c>
      <c r="D49" s="34" t="s">
        <v>73</v>
      </c>
      <c r="E49" s="7"/>
      <c r="F49" s="9"/>
    </row>
    <row r="50" spans="1:6" x14ac:dyDescent="0.25">
      <c r="A50" s="69">
        <v>48</v>
      </c>
      <c r="B50" s="73" t="s">
        <v>81</v>
      </c>
      <c r="C50" s="47" t="s">
        <v>25</v>
      </c>
      <c r="D50" s="34" t="s">
        <v>73</v>
      </c>
      <c r="E50" s="7"/>
      <c r="F50" s="9"/>
    </row>
    <row r="51" spans="1:6" x14ac:dyDescent="0.25">
      <c r="A51" s="69">
        <v>49</v>
      </c>
      <c r="B51" s="74" t="s">
        <v>100</v>
      </c>
      <c r="C51" s="47" t="s">
        <v>26</v>
      </c>
      <c r="D51" s="19" t="s">
        <v>74</v>
      </c>
      <c r="E51" s="7" t="s">
        <v>247</v>
      </c>
      <c r="F51" s="9" t="s">
        <v>268</v>
      </c>
    </row>
    <row r="52" spans="1:6" x14ac:dyDescent="0.25">
      <c r="A52" s="69">
        <v>50</v>
      </c>
      <c r="B52" s="74" t="s">
        <v>100</v>
      </c>
      <c r="C52" s="47" t="s">
        <v>27</v>
      </c>
      <c r="D52" s="34" t="s">
        <v>73</v>
      </c>
      <c r="E52" s="21"/>
      <c r="F52" s="9"/>
    </row>
    <row r="53" spans="1:6" x14ac:dyDescent="0.25">
      <c r="A53" s="69">
        <v>51</v>
      </c>
      <c r="B53" s="74" t="s">
        <v>100</v>
      </c>
      <c r="C53" s="47" t="s">
        <v>28</v>
      </c>
      <c r="D53" s="34" t="s">
        <v>73</v>
      </c>
      <c r="E53" s="7" t="s">
        <v>271</v>
      </c>
      <c r="F53" s="9"/>
    </row>
    <row r="54" spans="1:6" x14ac:dyDescent="0.25">
      <c r="A54" s="69">
        <v>52</v>
      </c>
      <c r="B54" s="74" t="s">
        <v>100</v>
      </c>
      <c r="C54" s="47" t="s">
        <v>29</v>
      </c>
      <c r="D54" s="34" t="s">
        <v>73</v>
      </c>
      <c r="E54" s="21"/>
      <c r="F54" s="9"/>
    </row>
    <row r="55" spans="1:6" x14ac:dyDescent="0.25">
      <c r="A55" s="69">
        <v>53</v>
      </c>
      <c r="B55" s="74" t="s">
        <v>100</v>
      </c>
      <c r="C55" s="49" t="s">
        <v>30</v>
      </c>
      <c r="D55" s="34" t="s">
        <v>73</v>
      </c>
      <c r="E55" s="7"/>
      <c r="F55" s="9"/>
    </row>
    <row r="56" spans="1:6" x14ac:dyDescent="0.25">
      <c r="A56" s="69">
        <v>54</v>
      </c>
      <c r="B56" s="72" t="s">
        <v>84</v>
      </c>
      <c r="C56" s="49" t="s">
        <v>31</v>
      </c>
      <c r="D56" s="34" t="s">
        <v>73</v>
      </c>
      <c r="E56" s="7"/>
      <c r="F56" s="9"/>
    </row>
    <row r="57" spans="1:6" x14ac:dyDescent="0.25">
      <c r="A57" s="69">
        <v>55</v>
      </c>
      <c r="B57" s="74" t="s">
        <v>85</v>
      </c>
      <c r="C57" s="49" t="s">
        <v>32</v>
      </c>
      <c r="D57" s="34" t="s">
        <v>73</v>
      </c>
      <c r="E57" s="7" t="s">
        <v>270</v>
      </c>
      <c r="F57" s="9"/>
    </row>
    <row r="58" spans="1:6" x14ac:dyDescent="0.25">
      <c r="A58" s="69">
        <v>56</v>
      </c>
      <c r="B58" s="74" t="s">
        <v>123</v>
      </c>
      <c r="C58" s="49" t="s">
        <v>33</v>
      </c>
      <c r="D58" s="34" t="s">
        <v>73</v>
      </c>
      <c r="E58" s="7"/>
      <c r="F58" s="9"/>
    </row>
    <row r="59" spans="1:6" x14ac:dyDescent="0.25">
      <c r="A59" s="69">
        <v>57</v>
      </c>
      <c r="B59" s="74" t="s">
        <v>82</v>
      </c>
      <c r="C59" s="49" t="s">
        <v>34</v>
      </c>
      <c r="D59" s="34" t="s">
        <v>73</v>
      </c>
      <c r="E59" s="7"/>
      <c r="F59" s="9"/>
    </row>
    <row r="60" spans="1:6" x14ac:dyDescent="0.25">
      <c r="A60" s="69">
        <v>58</v>
      </c>
      <c r="B60" s="74" t="s">
        <v>82</v>
      </c>
      <c r="C60" s="49" t="s">
        <v>35</v>
      </c>
      <c r="D60" s="34" t="s">
        <v>73</v>
      </c>
      <c r="E60" s="7"/>
      <c r="F60" s="9"/>
    </row>
    <row r="61" spans="1:6" x14ac:dyDescent="0.25">
      <c r="A61" s="69">
        <v>59</v>
      </c>
      <c r="B61" s="74" t="s">
        <v>107</v>
      </c>
      <c r="C61" s="49" t="s">
        <v>36</v>
      </c>
      <c r="D61" s="34" t="s">
        <v>73</v>
      </c>
      <c r="E61" s="3"/>
      <c r="F61" s="8"/>
    </row>
    <row r="62" spans="1:6" x14ac:dyDescent="0.25">
      <c r="A62" s="69">
        <v>60</v>
      </c>
      <c r="B62" s="74" t="s">
        <v>100</v>
      </c>
      <c r="C62" s="49" t="s">
        <v>68</v>
      </c>
      <c r="D62" s="34" t="s">
        <v>73</v>
      </c>
      <c r="E62" s="7"/>
      <c r="F62" s="9"/>
    </row>
    <row r="63" spans="1:6" x14ac:dyDescent="0.25">
      <c r="A63" s="70">
        <v>61</v>
      </c>
      <c r="B63" s="74" t="s">
        <v>100</v>
      </c>
      <c r="C63" s="49" t="s">
        <v>108</v>
      </c>
      <c r="D63" s="34" t="s">
        <v>73</v>
      </c>
      <c r="E63" s="7"/>
      <c r="F63" s="9"/>
    </row>
    <row r="64" spans="1:6" x14ac:dyDescent="0.25">
      <c r="A64" s="71">
        <v>62</v>
      </c>
      <c r="B64" s="74" t="s">
        <v>212</v>
      </c>
      <c r="C64" s="64" t="s">
        <v>124</v>
      </c>
      <c r="D64" s="65" t="s">
        <v>73</v>
      </c>
      <c r="E64" s="66"/>
      <c r="F64" s="67"/>
    </row>
    <row r="65" spans="1:6" x14ac:dyDescent="0.25">
      <c r="A65" s="70">
        <v>63</v>
      </c>
      <c r="B65" s="75" t="s">
        <v>77</v>
      </c>
      <c r="C65" s="49" t="s">
        <v>214</v>
      </c>
      <c r="D65" s="76" t="s">
        <v>73</v>
      </c>
      <c r="E65" s="7" t="s">
        <v>289</v>
      </c>
      <c r="F65" s="9"/>
    </row>
    <row r="66" spans="1:6" x14ac:dyDescent="0.25">
      <c r="A66" s="70">
        <v>64</v>
      </c>
      <c r="B66" s="74" t="s">
        <v>84</v>
      </c>
      <c r="C66" s="49" t="s">
        <v>215</v>
      </c>
      <c r="D66" s="76" t="s">
        <v>73</v>
      </c>
      <c r="E66" s="7"/>
      <c r="F66" s="9"/>
    </row>
    <row r="67" spans="1:6" x14ac:dyDescent="0.25">
      <c r="A67" s="119">
        <v>65</v>
      </c>
      <c r="B67" s="74" t="s">
        <v>87</v>
      </c>
      <c r="C67" s="117" t="s">
        <v>217</v>
      </c>
      <c r="D67" s="76" t="s">
        <v>73</v>
      </c>
      <c r="E67" s="7" t="s">
        <v>272</v>
      </c>
      <c r="F67" s="118"/>
    </row>
    <row r="68" spans="1:6" ht="15.75" thickBot="1" x14ac:dyDescent="0.3">
      <c r="A68" s="78">
        <v>66</v>
      </c>
      <c r="B68" s="120" t="s">
        <v>84</v>
      </c>
      <c r="C68" s="79" t="s">
        <v>19</v>
      </c>
      <c r="D68" s="77" t="s">
        <v>73</v>
      </c>
      <c r="E68" s="116" t="s">
        <v>264</v>
      </c>
      <c r="F68" s="80" t="s">
        <v>265</v>
      </c>
    </row>
    <row r="69" spans="1:6" x14ac:dyDescent="0.25">
      <c r="A69" s="45"/>
      <c r="B69" s="30"/>
      <c r="C69" s="31"/>
      <c r="D69" s="31"/>
      <c r="E69" s="32"/>
      <c r="F69" s="33"/>
    </row>
    <row r="71" spans="1:6" x14ac:dyDescent="0.25">
      <c r="B71" s="27" t="s">
        <v>69</v>
      </c>
      <c r="C71" s="28"/>
      <c r="D71" s="13"/>
    </row>
    <row r="72" spans="1:6" x14ac:dyDescent="0.25">
      <c r="B72" s="14"/>
      <c r="C72" s="15"/>
      <c r="D72" s="16"/>
    </row>
    <row r="73" spans="1:6" x14ac:dyDescent="0.25">
      <c r="B73" s="17" t="s">
        <v>70</v>
      </c>
      <c r="C73" s="26" t="s">
        <v>223</v>
      </c>
      <c r="D73" s="16"/>
    </row>
    <row r="74" spans="1:6" x14ac:dyDescent="0.25">
      <c r="B74" s="17" t="s">
        <v>71</v>
      </c>
      <c r="C74" s="26" t="s">
        <v>219</v>
      </c>
      <c r="D74" s="15" t="s">
        <v>220</v>
      </c>
    </row>
    <row r="75" spans="1:6" x14ac:dyDescent="0.25">
      <c r="B75" s="17" t="s">
        <v>72</v>
      </c>
      <c r="C75" s="25" t="s">
        <v>237</v>
      </c>
      <c r="D75" s="29" t="s">
        <v>278</v>
      </c>
    </row>
    <row r="76" spans="1:6" x14ac:dyDescent="0.25">
      <c r="B76" s="18" t="s">
        <v>109</v>
      </c>
      <c r="C76" s="24" t="s">
        <v>213</v>
      </c>
      <c r="D76" s="29"/>
      <c r="E76" s="1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76"/>
  <sheetViews>
    <sheetView topLeftCell="A37" workbookViewId="0">
      <selection sqref="A1:XFD1048576"/>
    </sheetView>
  </sheetViews>
  <sheetFormatPr defaultRowHeight="15" x14ac:dyDescent="0.25"/>
  <cols>
    <col min="1" max="1" width="3.42578125" bestFit="1" customWidth="1"/>
    <col min="2" max="2" width="17.5703125" customWidth="1"/>
    <col min="3" max="3" width="10.140625" customWidth="1"/>
    <col min="4" max="4" width="30.5703125" customWidth="1"/>
    <col min="5" max="5" width="75.140625" customWidth="1"/>
    <col min="6" max="6" width="50.140625" bestFit="1" customWidth="1"/>
    <col min="8" max="8" width="27.28515625" customWidth="1"/>
    <col min="9" max="9" width="10.85546875" customWidth="1"/>
    <col min="10" max="10" width="11" customWidth="1"/>
    <col min="11" max="11" width="11" bestFit="1" customWidth="1"/>
  </cols>
  <sheetData>
    <row r="1" spans="1:11" ht="16.5" thickBot="1" x14ac:dyDescent="0.3">
      <c r="A1" s="4"/>
      <c r="B1" s="5"/>
      <c r="C1" s="2"/>
      <c r="D1" s="5"/>
      <c r="E1" s="12" t="s">
        <v>280</v>
      </c>
      <c r="F1" s="6"/>
    </row>
    <row r="2" spans="1:11" ht="15.75" thickBot="1" x14ac:dyDescent="0.3">
      <c r="A2" s="68" t="s">
        <v>0</v>
      </c>
      <c r="B2" s="110" t="s">
        <v>1</v>
      </c>
      <c r="C2" s="111" t="s">
        <v>2</v>
      </c>
      <c r="D2" s="112" t="s">
        <v>121</v>
      </c>
      <c r="E2" s="113" t="s">
        <v>45</v>
      </c>
      <c r="F2" s="114" t="s">
        <v>102</v>
      </c>
      <c r="H2" s="44"/>
      <c r="I2" s="85" t="s">
        <v>110</v>
      </c>
      <c r="J2" s="41" t="s">
        <v>111</v>
      </c>
      <c r="K2" s="42" t="s">
        <v>120</v>
      </c>
    </row>
    <row r="3" spans="1:11" x14ac:dyDescent="0.25">
      <c r="A3" s="115">
        <v>1</v>
      </c>
      <c r="B3" s="81" t="s">
        <v>84</v>
      </c>
      <c r="C3" s="46" t="s">
        <v>66</v>
      </c>
      <c r="D3" s="50" t="s">
        <v>73</v>
      </c>
      <c r="E3" s="22"/>
      <c r="F3" s="23"/>
      <c r="H3" s="35" t="s">
        <v>112</v>
      </c>
      <c r="I3" s="86">
        <v>9</v>
      </c>
      <c r="J3" s="86">
        <v>2</v>
      </c>
      <c r="K3" s="94">
        <f t="shared" ref="K3:K13" si="0">((I3-J3)/I3)</f>
        <v>0.77777777777777779</v>
      </c>
    </row>
    <row r="4" spans="1:11" x14ac:dyDescent="0.25">
      <c r="A4" s="69">
        <v>2</v>
      </c>
      <c r="B4" s="72" t="s">
        <v>84</v>
      </c>
      <c r="C4" s="48" t="s">
        <v>67</v>
      </c>
      <c r="D4" s="34" t="s">
        <v>73</v>
      </c>
      <c r="E4" s="7"/>
      <c r="F4" s="9"/>
      <c r="H4" s="43" t="s">
        <v>117</v>
      </c>
      <c r="I4" s="87">
        <v>33</v>
      </c>
      <c r="J4" s="87">
        <v>2</v>
      </c>
      <c r="K4" s="95">
        <f t="shared" si="0"/>
        <v>0.93939393939393945</v>
      </c>
    </row>
    <row r="5" spans="1:11" x14ac:dyDescent="0.25">
      <c r="A5" s="69">
        <v>3</v>
      </c>
      <c r="B5" s="72" t="s">
        <v>103</v>
      </c>
      <c r="C5" s="48" t="s">
        <v>104</v>
      </c>
      <c r="D5" s="34" t="s">
        <v>73</v>
      </c>
      <c r="E5" s="7"/>
      <c r="F5" s="9"/>
      <c r="H5" s="43" t="s">
        <v>116</v>
      </c>
      <c r="I5" s="87">
        <v>2</v>
      </c>
      <c r="J5" s="87">
        <v>0</v>
      </c>
      <c r="K5" s="95">
        <f t="shared" si="0"/>
        <v>1</v>
      </c>
    </row>
    <row r="6" spans="1:11" x14ac:dyDescent="0.25">
      <c r="A6" s="69">
        <v>4</v>
      </c>
      <c r="B6" s="72" t="s">
        <v>105</v>
      </c>
      <c r="C6" s="48" t="s">
        <v>106</v>
      </c>
      <c r="D6" s="34" t="s">
        <v>73</v>
      </c>
      <c r="E6" s="7"/>
      <c r="F6" s="9"/>
      <c r="H6" s="43" t="s">
        <v>115</v>
      </c>
      <c r="I6" s="87">
        <v>2</v>
      </c>
      <c r="J6" s="87">
        <v>1</v>
      </c>
      <c r="K6" s="95">
        <f>((I6-J6)/I6)</f>
        <v>0.5</v>
      </c>
    </row>
    <row r="7" spans="1:11" x14ac:dyDescent="0.25">
      <c r="A7" s="69">
        <v>5</v>
      </c>
      <c r="B7" s="72" t="s">
        <v>86</v>
      </c>
      <c r="C7" s="48" t="s">
        <v>83</v>
      </c>
      <c r="D7" s="34" t="s">
        <v>73</v>
      </c>
      <c r="E7" s="7"/>
      <c r="F7" s="9"/>
      <c r="H7" s="36" t="s">
        <v>113</v>
      </c>
      <c r="I7" s="88">
        <v>4</v>
      </c>
      <c r="J7" s="88">
        <v>0</v>
      </c>
      <c r="K7" s="96">
        <f t="shared" si="0"/>
        <v>1</v>
      </c>
    </row>
    <row r="8" spans="1:11" x14ac:dyDescent="0.25">
      <c r="A8" s="69">
        <v>6</v>
      </c>
      <c r="B8" s="73" t="s">
        <v>87</v>
      </c>
      <c r="C8" s="47" t="s">
        <v>75</v>
      </c>
      <c r="D8" s="19" t="s">
        <v>74</v>
      </c>
      <c r="E8" s="20" t="s">
        <v>281</v>
      </c>
      <c r="F8" s="8"/>
      <c r="H8" s="37" t="s">
        <v>114</v>
      </c>
      <c r="I8" s="89">
        <v>1</v>
      </c>
      <c r="J8" s="89">
        <v>0</v>
      </c>
      <c r="K8" s="97">
        <f t="shared" si="0"/>
        <v>1</v>
      </c>
    </row>
    <row r="9" spans="1:11" x14ac:dyDescent="0.25">
      <c r="A9" s="69">
        <v>7</v>
      </c>
      <c r="B9" s="73" t="s">
        <v>8</v>
      </c>
      <c r="C9" s="47" t="s">
        <v>9</v>
      </c>
      <c r="D9" s="34" t="s">
        <v>73</v>
      </c>
      <c r="E9" s="20"/>
      <c r="F9" s="8"/>
      <c r="H9" s="38" t="s">
        <v>4</v>
      </c>
      <c r="I9" s="90">
        <v>3</v>
      </c>
      <c r="J9" s="102">
        <v>0</v>
      </c>
      <c r="K9" s="98">
        <f t="shared" si="0"/>
        <v>1</v>
      </c>
    </row>
    <row r="10" spans="1:11" x14ac:dyDescent="0.25">
      <c r="A10" s="69">
        <v>8</v>
      </c>
      <c r="B10" s="73" t="s">
        <v>88</v>
      </c>
      <c r="C10" s="47" t="s">
        <v>10</v>
      </c>
      <c r="D10" s="19" t="s">
        <v>74</v>
      </c>
      <c r="E10" s="7" t="s">
        <v>221</v>
      </c>
      <c r="F10" s="8" t="s">
        <v>216</v>
      </c>
      <c r="H10" s="39" t="s">
        <v>5</v>
      </c>
      <c r="I10" s="91">
        <v>1</v>
      </c>
      <c r="J10" s="91">
        <v>0</v>
      </c>
      <c r="K10" s="99">
        <f t="shared" si="0"/>
        <v>1</v>
      </c>
    </row>
    <row r="11" spans="1:11" x14ac:dyDescent="0.25">
      <c r="A11" s="69">
        <v>9</v>
      </c>
      <c r="B11" s="73" t="s">
        <v>76</v>
      </c>
      <c r="C11" s="47" t="s">
        <v>11</v>
      </c>
      <c r="D11" s="34" t="s">
        <v>73</v>
      </c>
      <c r="E11" s="7"/>
      <c r="F11" s="8"/>
      <c r="H11" s="40" t="s">
        <v>119</v>
      </c>
      <c r="I11" s="92">
        <v>1</v>
      </c>
      <c r="J11" s="103">
        <v>0</v>
      </c>
      <c r="K11" s="100">
        <f t="shared" si="0"/>
        <v>1</v>
      </c>
    </row>
    <row r="12" spans="1:11" x14ac:dyDescent="0.25">
      <c r="A12" s="69">
        <v>10</v>
      </c>
      <c r="B12" s="74" t="s">
        <v>85</v>
      </c>
      <c r="C12" s="47" t="s">
        <v>12</v>
      </c>
      <c r="D12" s="34" t="s">
        <v>73</v>
      </c>
      <c r="E12" s="7"/>
      <c r="F12" s="9"/>
      <c r="H12" s="40" t="s">
        <v>118</v>
      </c>
      <c r="I12" s="92">
        <v>2</v>
      </c>
      <c r="J12" s="103">
        <v>0</v>
      </c>
      <c r="K12" s="100">
        <f t="shared" si="0"/>
        <v>1</v>
      </c>
    </row>
    <row r="13" spans="1:11" x14ac:dyDescent="0.25">
      <c r="A13" s="69">
        <v>11</v>
      </c>
      <c r="B13" s="73" t="s">
        <v>6</v>
      </c>
      <c r="C13" s="47" t="s">
        <v>13</v>
      </c>
      <c r="D13" s="34" t="s">
        <v>73</v>
      </c>
      <c r="E13" s="7"/>
      <c r="F13" s="9"/>
      <c r="H13" s="84" t="s">
        <v>3</v>
      </c>
      <c r="I13" s="93">
        <v>2</v>
      </c>
      <c r="J13" s="93">
        <v>0</v>
      </c>
      <c r="K13" s="101">
        <f t="shared" si="0"/>
        <v>1</v>
      </c>
    </row>
    <row r="14" spans="1:11" x14ac:dyDescent="0.25">
      <c r="A14" s="69">
        <v>12</v>
      </c>
      <c r="B14" s="73" t="s">
        <v>89</v>
      </c>
      <c r="C14" s="47" t="s">
        <v>14</v>
      </c>
      <c r="D14" s="34" t="s">
        <v>73</v>
      </c>
      <c r="E14" s="7"/>
      <c r="F14" s="9"/>
      <c r="H14" s="109" t="s">
        <v>218</v>
      </c>
      <c r="I14" s="104">
        <v>5</v>
      </c>
      <c r="J14" s="104">
        <v>1</v>
      </c>
      <c r="K14" s="105">
        <f>((I14-J14)/I14)</f>
        <v>0.8</v>
      </c>
    </row>
    <row r="15" spans="1:11" ht="15.75" thickBot="1" x14ac:dyDescent="0.3">
      <c r="A15" s="69">
        <v>13</v>
      </c>
      <c r="B15" s="73" t="s">
        <v>77</v>
      </c>
      <c r="C15" s="47" t="s">
        <v>15</v>
      </c>
      <c r="D15" s="34" t="s">
        <v>73</v>
      </c>
      <c r="E15" s="7"/>
      <c r="F15" s="9"/>
      <c r="G15" s="83"/>
      <c r="H15" s="84" t="s">
        <v>236</v>
      </c>
      <c r="I15" s="93">
        <v>1</v>
      </c>
      <c r="J15" s="93">
        <v>0</v>
      </c>
      <c r="K15" s="101">
        <f t="shared" ref="K15" si="1">((I15-J15)/I15)</f>
        <v>1</v>
      </c>
    </row>
    <row r="16" spans="1:11" ht="15.75" thickBot="1" x14ac:dyDescent="0.3">
      <c r="A16" s="69">
        <v>14</v>
      </c>
      <c r="B16" s="72" t="s">
        <v>84</v>
      </c>
      <c r="C16" s="47" t="s">
        <v>16</v>
      </c>
      <c r="D16" s="34" t="s">
        <v>73</v>
      </c>
      <c r="E16" s="7"/>
      <c r="F16" s="9"/>
      <c r="H16" s="106" t="s">
        <v>122</v>
      </c>
      <c r="I16" s="107">
        <f>SUM(I3:I15)</f>
        <v>66</v>
      </c>
      <c r="J16" s="107">
        <f>SUM(J3:J15)</f>
        <v>6</v>
      </c>
      <c r="K16" s="108">
        <f>((I16-J16)/I16)</f>
        <v>0.90909090909090906</v>
      </c>
    </row>
    <row r="17" spans="1:6" x14ac:dyDescent="0.25">
      <c r="A17" s="69">
        <v>15</v>
      </c>
      <c r="B17" s="74" t="s">
        <v>85</v>
      </c>
      <c r="C17" s="47" t="s">
        <v>21</v>
      </c>
      <c r="D17" s="34" t="s">
        <v>73</v>
      </c>
      <c r="E17" s="7"/>
      <c r="F17" s="9"/>
    </row>
    <row r="18" spans="1:6" x14ac:dyDescent="0.25">
      <c r="A18" s="69">
        <v>16</v>
      </c>
      <c r="B18" s="73" t="s">
        <v>79</v>
      </c>
      <c r="C18" s="47" t="s">
        <v>22</v>
      </c>
      <c r="D18" s="19" t="s">
        <v>74</v>
      </c>
      <c r="E18" s="7" t="s">
        <v>240</v>
      </c>
      <c r="F18" s="9" t="s">
        <v>243</v>
      </c>
    </row>
    <row r="19" spans="1:6" x14ac:dyDescent="0.25">
      <c r="A19" s="69">
        <v>17</v>
      </c>
      <c r="B19" s="74" t="s">
        <v>85</v>
      </c>
      <c r="C19" s="47" t="s">
        <v>46</v>
      </c>
      <c r="D19" s="34" t="s">
        <v>73</v>
      </c>
      <c r="E19" s="7"/>
      <c r="F19" s="9"/>
    </row>
    <row r="20" spans="1:6" x14ac:dyDescent="0.25">
      <c r="A20" s="69">
        <v>18</v>
      </c>
      <c r="B20" s="73" t="s">
        <v>90</v>
      </c>
      <c r="C20" s="47" t="s">
        <v>38</v>
      </c>
      <c r="D20" s="34" t="s">
        <v>73</v>
      </c>
      <c r="E20" s="7" t="s">
        <v>282</v>
      </c>
      <c r="F20" s="9"/>
    </row>
    <row r="21" spans="1:6" x14ac:dyDescent="0.25">
      <c r="A21" s="69">
        <v>19</v>
      </c>
      <c r="B21" s="73" t="s">
        <v>91</v>
      </c>
      <c r="C21" s="47" t="s">
        <v>44</v>
      </c>
      <c r="D21" s="34" t="s">
        <v>73</v>
      </c>
      <c r="E21" s="7"/>
      <c r="F21" s="9"/>
    </row>
    <row r="22" spans="1:6" x14ac:dyDescent="0.25">
      <c r="A22" s="69">
        <v>20</v>
      </c>
      <c r="B22" s="73" t="s">
        <v>77</v>
      </c>
      <c r="C22" s="47" t="s">
        <v>37</v>
      </c>
      <c r="D22" s="34" t="s">
        <v>73</v>
      </c>
      <c r="E22" s="7"/>
      <c r="F22" s="9"/>
    </row>
    <row r="23" spans="1:6" x14ac:dyDescent="0.25">
      <c r="A23" s="69">
        <v>21</v>
      </c>
      <c r="B23" s="73" t="s">
        <v>92</v>
      </c>
      <c r="C23" s="47" t="s">
        <v>39</v>
      </c>
      <c r="D23" s="34" t="s">
        <v>73</v>
      </c>
      <c r="E23" s="7"/>
      <c r="F23" s="9"/>
    </row>
    <row r="24" spans="1:6" x14ac:dyDescent="0.25">
      <c r="A24" s="69">
        <v>22</v>
      </c>
      <c r="B24" s="73" t="s">
        <v>97</v>
      </c>
      <c r="C24" s="47" t="s">
        <v>42</v>
      </c>
      <c r="D24" s="34" t="s">
        <v>73</v>
      </c>
      <c r="E24" s="7"/>
      <c r="F24" s="9"/>
    </row>
    <row r="25" spans="1:6" x14ac:dyDescent="0.25">
      <c r="A25" s="69">
        <v>23</v>
      </c>
      <c r="B25" s="73" t="s">
        <v>93</v>
      </c>
      <c r="C25" s="47" t="s">
        <v>43</v>
      </c>
      <c r="D25" s="19" t="s">
        <v>74</v>
      </c>
      <c r="E25" s="7" t="s">
        <v>242</v>
      </c>
      <c r="F25" s="9" t="s">
        <v>243</v>
      </c>
    </row>
    <row r="26" spans="1:6" x14ac:dyDescent="0.25">
      <c r="A26" s="69">
        <v>24</v>
      </c>
      <c r="B26" s="73" t="s">
        <v>123</v>
      </c>
      <c r="C26" s="47" t="s">
        <v>40</v>
      </c>
      <c r="D26" s="34" t="s">
        <v>73</v>
      </c>
      <c r="E26" s="7"/>
      <c r="F26" s="9"/>
    </row>
    <row r="27" spans="1:6" x14ac:dyDescent="0.25">
      <c r="A27" s="69">
        <v>25</v>
      </c>
      <c r="B27" s="73" t="s">
        <v>78</v>
      </c>
      <c r="C27" s="47" t="s">
        <v>41</v>
      </c>
      <c r="D27" s="34" t="s">
        <v>73</v>
      </c>
      <c r="E27" s="7" t="s">
        <v>283</v>
      </c>
      <c r="F27" s="9"/>
    </row>
    <row r="28" spans="1:6" x14ac:dyDescent="0.25">
      <c r="A28" s="69">
        <v>26</v>
      </c>
      <c r="B28" s="73" t="s">
        <v>80</v>
      </c>
      <c r="C28" s="47" t="s">
        <v>47</v>
      </c>
      <c r="D28" s="34" t="s">
        <v>73</v>
      </c>
      <c r="E28" s="7"/>
      <c r="F28" s="9"/>
    </row>
    <row r="29" spans="1:6" x14ac:dyDescent="0.25">
      <c r="A29" s="69">
        <v>27</v>
      </c>
      <c r="B29" s="73" t="s">
        <v>94</v>
      </c>
      <c r="C29" s="47" t="s">
        <v>48</v>
      </c>
      <c r="D29" s="34" t="s">
        <v>73</v>
      </c>
      <c r="E29" s="7"/>
      <c r="F29" s="9"/>
    </row>
    <row r="30" spans="1:6" x14ac:dyDescent="0.25">
      <c r="A30" s="69">
        <v>28</v>
      </c>
      <c r="B30" s="73" t="s">
        <v>78</v>
      </c>
      <c r="C30" s="47" t="s">
        <v>49</v>
      </c>
      <c r="D30" s="34" t="s">
        <v>73</v>
      </c>
      <c r="E30" s="7"/>
      <c r="F30" s="9"/>
    </row>
    <row r="31" spans="1:6" x14ac:dyDescent="0.25">
      <c r="A31" s="69">
        <v>29</v>
      </c>
      <c r="B31" s="73" t="s">
        <v>92</v>
      </c>
      <c r="C31" s="47" t="s">
        <v>50</v>
      </c>
      <c r="D31" s="34" t="s">
        <v>73</v>
      </c>
      <c r="E31" s="7"/>
      <c r="F31" s="9"/>
    </row>
    <row r="32" spans="1:6" x14ac:dyDescent="0.25">
      <c r="A32" s="69">
        <v>30</v>
      </c>
      <c r="B32" s="73" t="s">
        <v>90</v>
      </c>
      <c r="C32" s="47" t="s">
        <v>51</v>
      </c>
      <c r="D32" s="34" t="s">
        <v>73</v>
      </c>
      <c r="E32" s="7"/>
      <c r="F32" s="9"/>
    </row>
    <row r="33" spans="1:6" x14ac:dyDescent="0.25">
      <c r="A33" s="69">
        <v>31</v>
      </c>
      <c r="B33" s="74" t="s">
        <v>85</v>
      </c>
      <c r="C33" s="47" t="s">
        <v>52</v>
      </c>
      <c r="D33" s="34" t="s">
        <v>73</v>
      </c>
      <c r="E33" s="7" t="s">
        <v>275</v>
      </c>
      <c r="F33" s="9"/>
    </row>
    <row r="34" spans="1:6" x14ac:dyDescent="0.25">
      <c r="A34" s="69">
        <v>32</v>
      </c>
      <c r="B34" s="72" t="s">
        <v>84</v>
      </c>
      <c r="C34" s="47" t="s">
        <v>53</v>
      </c>
      <c r="D34" s="34" t="s">
        <v>73</v>
      </c>
      <c r="E34" s="7" t="s">
        <v>284</v>
      </c>
      <c r="F34" s="9"/>
    </row>
    <row r="35" spans="1:6" x14ac:dyDescent="0.25">
      <c r="A35" s="69">
        <v>33</v>
      </c>
      <c r="B35" s="73" t="s">
        <v>79</v>
      </c>
      <c r="C35" s="47" t="s">
        <v>54</v>
      </c>
      <c r="D35" s="34" t="s">
        <v>73</v>
      </c>
      <c r="E35" s="7" t="s">
        <v>285</v>
      </c>
      <c r="F35" s="9"/>
    </row>
    <row r="36" spans="1:6" x14ac:dyDescent="0.25">
      <c r="A36" s="69">
        <v>34</v>
      </c>
      <c r="B36" s="74" t="s">
        <v>85</v>
      </c>
      <c r="C36" s="47" t="s">
        <v>55</v>
      </c>
      <c r="D36" s="34" t="s">
        <v>73</v>
      </c>
      <c r="E36" s="7"/>
      <c r="F36" s="9"/>
    </row>
    <row r="37" spans="1:6" x14ac:dyDescent="0.25">
      <c r="A37" s="69">
        <v>35</v>
      </c>
      <c r="B37" s="73" t="s">
        <v>78</v>
      </c>
      <c r="C37" s="47" t="s">
        <v>56</v>
      </c>
      <c r="D37" s="34" t="s">
        <v>73</v>
      </c>
      <c r="E37" s="7"/>
      <c r="F37" s="8"/>
    </row>
    <row r="38" spans="1:6" x14ac:dyDescent="0.25">
      <c r="A38" s="69">
        <v>36</v>
      </c>
      <c r="B38" s="73" t="s">
        <v>92</v>
      </c>
      <c r="C38" s="47" t="s">
        <v>57</v>
      </c>
      <c r="D38" s="34" t="s">
        <v>73</v>
      </c>
      <c r="E38" s="7" t="s">
        <v>274</v>
      </c>
      <c r="F38" s="9"/>
    </row>
    <row r="39" spans="1:6" x14ac:dyDescent="0.25">
      <c r="A39" s="69">
        <v>37</v>
      </c>
      <c r="B39" s="73" t="s">
        <v>88</v>
      </c>
      <c r="C39" s="47" t="s">
        <v>58</v>
      </c>
      <c r="D39" s="34" t="s">
        <v>73</v>
      </c>
      <c r="E39" s="7"/>
      <c r="F39" s="9"/>
    </row>
    <row r="40" spans="1:6" x14ac:dyDescent="0.25">
      <c r="A40" s="69">
        <v>38</v>
      </c>
      <c r="B40" s="72" t="s">
        <v>84</v>
      </c>
      <c r="C40" s="47" t="s">
        <v>59</v>
      </c>
      <c r="D40" s="19" t="s">
        <v>74</v>
      </c>
      <c r="E40" s="7" t="s">
        <v>286</v>
      </c>
      <c r="F40" s="9"/>
    </row>
    <row r="41" spans="1:6" x14ac:dyDescent="0.25">
      <c r="A41" s="69">
        <v>39</v>
      </c>
      <c r="B41" s="72" t="s">
        <v>98</v>
      </c>
      <c r="C41" s="47" t="s">
        <v>99</v>
      </c>
      <c r="D41" s="34" t="s">
        <v>73</v>
      </c>
      <c r="E41" s="7"/>
      <c r="F41" s="9"/>
    </row>
    <row r="42" spans="1:6" x14ac:dyDescent="0.25">
      <c r="A42" s="69">
        <v>40</v>
      </c>
      <c r="B42" s="73" t="s">
        <v>8</v>
      </c>
      <c r="C42" s="47" t="s">
        <v>62</v>
      </c>
      <c r="D42" s="34" t="s">
        <v>73</v>
      </c>
      <c r="E42" s="7"/>
      <c r="F42" s="9"/>
    </row>
    <row r="43" spans="1:6" x14ac:dyDescent="0.25">
      <c r="A43" s="69">
        <v>41</v>
      </c>
      <c r="B43" s="73" t="s">
        <v>93</v>
      </c>
      <c r="C43" s="47" t="s">
        <v>63</v>
      </c>
      <c r="D43" s="34" t="s">
        <v>73</v>
      </c>
      <c r="E43" s="7" t="s">
        <v>287</v>
      </c>
      <c r="F43" s="9"/>
    </row>
    <row r="44" spans="1:6" x14ac:dyDescent="0.25">
      <c r="A44" s="69">
        <v>42</v>
      </c>
      <c r="B44" s="73" t="s">
        <v>77</v>
      </c>
      <c r="C44" s="47" t="s">
        <v>65</v>
      </c>
      <c r="D44" s="34" t="s">
        <v>73</v>
      </c>
      <c r="E44" s="7" t="s">
        <v>273</v>
      </c>
      <c r="F44" s="9"/>
    </row>
    <row r="45" spans="1:6" x14ac:dyDescent="0.25">
      <c r="A45" s="69">
        <v>43</v>
      </c>
      <c r="B45" s="73" t="s">
        <v>95</v>
      </c>
      <c r="C45" s="47" t="s">
        <v>60</v>
      </c>
      <c r="D45" s="34" t="s">
        <v>73</v>
      </c>
      <c r="E45" s="7"/>
      <c r="F45" s="9"/>
    </row>
    <row r="46" spans="1:6" x14ac:dyDescent="0.25">
      <c r="A46" s="69">
        <v>44</v>
      </c>
      <c r="B46" s="73" t="s">
        <v>96</v>
      </c>
      <c r="C46" s="47" t="s">
        <v>61</v>
      </c>
      <c r="D46" s="34" t="s">
        <v>73</v>
      </c>
      <c r="E46" s="7"/>
      <c r="F46" s="9"/>
    </row>
    <row r="47" spans="1:6" x14ac:dyDescent="0.25">
      <c r="A47" s="69">
        <v>45</v>
      </c>
      <c r="B47" s="73" t="s">
        <v>91</v>
      </c>
      <c r="C47" s="47" t="s">
        <v>64</v>
      </c>
      <c r="D47" s="34" t="s">
        <v>73</v>
      </c>
      <c r="E47" s="7"/>
      <c r="F47" s="9"/>
    </row>
    <row r="48" spans="1:6" x14ac:dyDescent="0.25">
      <c r="A48" s="69">
        <v>46</v>
      </c>
      <c r="B48" s="73" t="s">
        <v>88</v>
      </c>
      <c r="C48" s="47" t="s">
        <v>23</v>
      </c>
      <c r="D48" s="34" t="s">
        <v>73</v>
      </c>
      <c r="E48" s="7"/>
      <c r="F48" s="9"/>
    </row>
    <row r="49" spans="1:6" x14ac:dyDescent="0.25">
      <c r="A49" s="69">
        <v>47</v>
      </c>
      <c r="B49" s="73" t="s">
        <v>81</v>
      </c>
      <c r="C49" s="47" t="s">
        <v>24</v>
      </c>
      <c r="D49" s="34" t="s">
        <v>73</v>
      </c>
      <c r="E49" s="7"/>
      <c r="F49" s="9"/>
    </row>
    <row r="50" spans="1:6" x14ac:dyDescent="0.25">
      <c r="A50" s="69">
        <v>48</v>
      </c>
      <c r="B50" s="73" t="s">
        <v>81</v>
      </c>
      <c r="C50" s="47" t="s">
        <v>25</v>
      </c>
      <c r="D50" s="34" t="s">
        <v>73</v>
      </c>
      <c r="E50" s="7"/>
      <c r="F50" s="9"/>
    </row>
    <row r="51" spans="1:6" x14ac:dyDescent="0.25">
      <c r="A51" s="69">
        <v>49</v>
      </c>
      <c r="B51" s="74" t="s">
        <v>100</v>
      </c>
      <c r="C51" s="47" t="s">
        <v>26</v>
      </c>
      <c r="D51" s="19" t="s">
        <v>74</v>
      </c>
      <c r="E51" s="7" t="s">
        <v>247</v>
      </c>
      <c r="F51" s="9" t="s">
        <v>268</v>
      </c>
    </row>
    <row r="52" spans="1:6" x14ac:dyDescent="0.25">
      <c r="A52" s="69">
        <v>50</v>
      </c>
      <c r="B52" s="74" t="s">
        <v>100</v>
      </c>
      <c r="C52" s="47" t="s">
        <v>27</v>
      </c>
      <c r="D52" s="34" t="s">
        <v>73</v>
      </c>
      <c r="E52" s="21"/>
      <c r="F52" s="9"/>
    </row>
    <row r="53" spans="1:6" x14ac:dyDescent="0.25">
      <c r="A53" s="69">
        <v>51</v>
      </c>
      <c r="B53" s="74" t="s">
        <v>100</v>
      </c>
      <c r="C53" s="47" t="s">
        <v>28</v>
      </c>
      <c r="D53" s="34" t="s">
        <v>73</v>
      </c>
      <c r="E53" s="7" t="s">
        <v>271</v>
      </c>
      <c r="F53" s="9"/>
    </row>
    <row r="54" spans="1:6" x14ac:dyDescent="0.25">
      <c r="A54" s="69">
        <v>52</v>
      </c>
      <c r="B54" s="74" t="s">
        <v>100</v>
      </c>
      <c r="C54" s="47" t="s">
        <v>29</v>
      </c>
      <c r="D54" s="34" t="s">
        <v>73</v>
      </c>
      <c r="E54" s="21"/>
      <c r="F54" s="9"/>
    </row>
    <row r="55" spans="1:6" x14ac:dyDescent="0.25">
      <c r="A55" s="69">
        <v>53</v>
      </c>
      <c r="B55" s="74" t="s">
        <v>100</v>
      </c>
      <c r="C55" s="49" t="s">
        <v>30</v>
      </c>
      <c r="D55" s="34" t="s">
        <v>73</v>
      </c>
      <c r="E55" s="7"/>
      <c r="F55" s="9"/>
    </row>
    <row r="56" spans="1:6" x14ac:dyDescent="0.25">
      <c r="A56" s="69">
        <v>54</v>
      </c>
      <c r="B56" s="72" t="s">
        <v>84</v>
      </c>
      <c r="C56" s="49" t="s">
        <v>31</v>
      </c>
      <c r="D56" s="34" t="s">
        <v>73</v>
      </c>
      <c r="E56" s="7" t="s">
        <v>290</v>
      </c>
      <c r="F56" s="9"/>
    </row>
    <row r="57" spans="1:6" x14ac:dyDescent="0.25">
      <c r="A57" s="69">
        <v>55</v>
      </c>
      <c r="B57" s="74" t="s">
        <v>85</v>
      </c>
      <c r="C57" s="49" t="s">
        <v>32</v>
      </c>
      <c r="D57" s="34" t="s">
        <v>73</v>
      </c>
      <c r="E57" s="7"/>
      <c r="F57" s="9"/>
    </row>
    <row r="58" spans="1:6" x14ac:dyDescent="0.25">
      <c r="A58" s="69">
        <v>56</v>
      </c>
      <c r="B58" s="74" t="s">
        <v>123</v>
      </c>
      <c r="C58" s="49" t="s">
        <v>33</v>
      </c>
      <c r="D58" s="34" t="s">
        <v>73</v>
      </c>
      <c r="E58" s="7"/>
      <c r="F58" s="9"/>
    </row>
    <row r="59" spans="1:6" x14ac:dyDescent="0.25">
      <c r="A59" s="69">
        <v>57</v>
      </c>
      <c r="B59" s="74" t="s">
        <v>82</v>
      </c>
      <c r="C59" s="49" t="s">
        <v>34</v>
      </c>
      <c r="D59" s="34" t="s">
        <v>73</v>
      </c>
      <c r="E59" s="7"/>
      <c r="F59" s="9"/>
    </row>
    <row r="60" spans="1:6" x14ac:dyDescent="0.25">
      <c r="A60" s="69">
        <v>58</v>
      </c>
      <c r="B60" s="74" t="s">
        <v>82</v>
      </c>
      <c r="C60" s="49" t="s">
        <v>35</v>
      </c>
      <c r="D60" s="34" t="s">
        <v>73</v>
      </c>
      <c r="E60" s="7"/>
      <c r="F60" s="9"/>
    </row>
    <row r="61" spans="1:6" x14ac:dyDescent="0.25">
      <c r="A61" s="69">
        <v>59</v>
      </c>
      <c r="B61" s="74" t="s">
        <v>107</v>
      </c>
      <c r="C61" s="49" t="s">
        <v>36</v>
      </c>
      <c r="D61" s="34" t="s">
        <v>73</v>
      </c>
      <c r="E61" s="3"/>
      <c r="F61" s="8"/>
    </row>
    <row r="62" spans="1:6" x14ac:dyDescent="0.25">
      <c r="A62" s="69">
        <v>60</v>
      </c>
      <c r="B62" s="74" t="s">
        <v>100</v>
      </c>
      <c r="C62" s="49" t="s">
        <v>68</v>
      </c>
      <c r="D62" s="34" t="s">
        <v>73</v>
      </c>
      <c r="E62" s="7"/>
      <c r="F62" s="9"/>
    </row>
    <row r="63" spans="1:6" x14ac:dyDescent="0.25">
      <c r="A63" s="70">
        <v>61</v>
      </c>
      <c r="B63" s="74" t="s">
        <v>100</v>
      </c>
      <c r="C63" s="49" t="s">
        <v>108</v>
      </c>
      <c r="D63" s="34" t="s">
        <v>73</v>
      </c>
      <c r="E63" s="7"/>
      <c r="F63" s="9"/>
    </row>
    <row r="64" spans="1:6" x14ac:dyDescent="0.25">
      <c r="A64" s="71">
        <v>62</v>
      </c>
      <c r="B64" s="74" t="s">
        <v>212</v>
      </c>
      <c r="C64" s="64" t="s">
        <v>124</v>
      </c>
      <c r="D64" s="65" t="s">
        <v>73</v>
      </c>
      <c r="E64" s="66"/>
      <c r="F64" s="67"/>
    </row>
    <row r="65" spans="1:6" x14ac:dyDescent="0.25">
      <c r="A65" s="70">
        <v>63</v>
      </c>
      <c r="B65" s="75" t="s">
        <v>77</v>
      </c>
      <c r="C65" s="49" t="s">
        <v>214</v>
      </c>
      <c r="D65" s="76" t="s">
        <v>73</v>
      </c>
      <c r="E65" s="7" t="s">
        <v>288</v>
      </c>
      <c r="F65" s="9"/>
    </row>
    <row r="66" spans="1:6" x14ac:dyDescent="0.25">
      <c r="A66" s="70">
        <v>64</v>
      </c>
      <c r="B66" s="74" t="s">
        <v>84</v>
      </c>
      <c r="C66" s="49" t="s">
        <v>215</v>
      </c>
      <c r="D66" s="76" t="s">
        <v>73</v>
      </c>
      <c r="E66" s="7"/>
      <c r="F66" s="9"/>
    </row>
    <row r="67" spans="1:6" x14ac:dyDescent="0.25">
      <c r="A67" s="119">
        <v>65</v>
      </c>
      <c r="B67" s="74" t="s">
        <v>87</v>
      </c>
      <c r="C67" s="117" t="s">
        <v>217</v>
      </c>
      <c r="D67" s="76" t="s">
        <v>73</v>
      </c>
      <c r="E67" s="7"/>
      <c r="F67" s="118"/>
    </row>
    <row r="68" spans="1:6" ht="15.75" thickBot="1" x14ac:dyDescent="0.3">
      <c r="A68" s="78">
        <v>66</v>
      </c>
      <c r="B68" s="120" t="s">
        <v>84</v>
      </c>
      <c r="C68" s="79" t="s">
        <v>19</v>
      </c>
      <c r="D68" s="77" t="s">
        <v>73</v>
      </c>
      <c r="E68" s="116" t="s">
        <v>264</v>
      </c>
      <c r="F68" s="80" t="s">
        <v>265</v>
      </c>
    </row>
    <row r="69" spans="1:6" x14ac:dyDescent="0.25">
      <c r="A69" s="45"/>
      <c r="B69" s="30"/>
      <c r="C69" s="31"/>
      <c r="D69" s="31"/>
      <c r="E69" s="32"/>
      <c r="F69" s="33"/>
    </row>
    <row r="71" spans="1:6" x14ac:dyDescent="0.25">
      <c r="B71" s="27" t="s">
        <v>69</v>
      </c>
      <c r="C71" s="28"/>
      <c r="D71" s="13"/>
    </row>
    <row r="72" spans="1:6" x14ac:dyDescent="0.25">
      <c r="B72" s="14"/>
      <c r="C72" s="15"/>
      <c r="D72" s="16"/>
    </row>
    <row r="73" spans="1:6" x14ac:dyDescent="0.25">
      <c r="B73" s="17" t="s">
        <v>70</v>
      </c>
      <c r="C73" s="26" t="s">
        <v>223</v>
      </c>
      <c r="D73" s="16"/>
    </row>
    <row r="74" spans="1:6" x14ac:dyDescent="0.25">
      <c r="B74" s="17" t="s">
        <v>71</v>
      </c>
      <c r="C74" s="26" t="s">
        <v>291</v>
      </c>
      <c r="D74" s="15" t="s">
        <v>220</v>
      </c>
    </row>
    <row r="75" spans="1:6" x14ac:dyDescent="0.25">
      <c r="B75" s="17" t="s">
        <v>72</v>
      </c>
      <c r="C75" s="25" t="s">
        <v>222</v>
      </c>
      <c r="D75" s="29" t="s">
        <v>226</v>
      </c>
    </row>
    <row r="76" spans="1:6" x14ac:dyDescent="0.25">
      <c r="B76" s="18" t="s">
        <v>109</v>
      </c>
      <c r="C76" s="24" t="s">
        <v>213</v>
      </c>
      <c r="D76" s="29"/>
      <c r="E76" s="1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67A80-5BE6-4DE8-9F58-92B614B6B623}">
  <dimension ref="A1:K76"/>
  <sheetViews>
    <sheetView tabSelected="1" topLeftCell="B1" workbookViewId="0">
      <selection activeCell="E58" sqref="E58"/>
    </sheetView>
  </sheetViews>
  <sheetFormatPr defaultRowHeight="15" x14ac:dyDescent="0.25"/>
  <cols>
    <col min="1" max="1" width="3.42578125" bestFit="1" customWidth="1"/>
    <col min="2" max="2" width="17.5703125" customWidth="1"/>
    <col min="3" max="3" width="10.140625" customWidth="1"/>
    <col min="4" max="4" width="30.5703125" customWidth="1"/>
    <col min="5" max="5" width="75.140625" customWidth="1"/>
    <col min="6" max="6" width="50.140625" bestFit="1" customWidth="1"/>
    <col min="8" max="8" width="27.28515625" customWidth="1"/>
    <col min="9" max="9" width="10.85546875" customWidth="1"/>
    <col min="10" max="10" width="11" customWidth="1"/>
    <col min="11" max="11" width="11" bestFit="1" customWidth="1"/>
  </cols>
  <sheetData>
    <row r="1" spans="1:11" ht="16.5" thickBot="1" x14ac:dyDescent="0.3">
      <c r="A1" s="4"/>
      <c r="B1" s="5"/>
      <c r="C1" s="2"/>
      <c r="D1" s="5"/>
      <c r="E1" s="12" t="s">
        <v>307</v>
      </c>
      <c r="F1" s="6"/>
    </row>
    <row r="2" spans="1:11" ht="15.75" thickBot="1" x14ac:dyDescent="0.3">
      <c r="A2" s="68" t="s">
        <v>0</v>
      </c>
      <c r="B2" s="110" t="s">
        <v>1</v>
      </c>
      <c r="C2" s="111" t="s">
        <v>2</v>
      </c>
      <c r="D2" s="112" t="s">
        <v>121</v>
      </c>
      <c r="E2" s="113" t="s">
        <v>45</v>
      </c>
      <c r="F2" s="114" t="s">
        <v>102</v>
      </c>
      <c r="H2" s="44"/>
      <c r="I2" s="85" t="s">
        <v>110</v>
      </c>
      <c r="J2" s="41" t="s">
        <v>111</v>
      </c>
      <c r="K2" s="42" t="s">
        <v>120</v>
      </c>
    </row>
    <row r="3" spans="1:11" x14ac:dyDescent="0.25">
      <c r="A3" s="115">
        <v>1</v>
      </c>
      <c r="B3" s="81" t="s">
        <v>84</v>
      </c>
      <c r="C3" s="46" t="s">
        <v>66</v>
      </c>
      <c r="D3" s="50" t="s">
        <v>73</v>
      </c>
      <c r="E3" s="22" t="s">
        <v>292</v>
      </c>
      <c r="F3" s="23"/>
      <c r="H3" s="35" t="s">
        <v>112</v>
      </c>
      <c r="I3" s="86">
        <v>9</v>
      </c>
      <c r="J3" s="86">
        <v>2</v>
      </c>
      <c r="K3" s="94">
        <f t="shared" ref="K3:K13" si="0">((I3-J3)/I3)</f>
        <v>0.77777777777777779</v>
      </c>
    </row>
    <row r="4" spans="1:11" x14ac:dyDescent="0.25">
      <c r="A4" s="69">
        <v>2</v>
      </c>
      <c r="B4" s="72" t="s">
        <v>84</v>
      </c>
      <c r="C4" s="48" t="s">
        <v>67</v>
      </c>
      <c r="D4" s="34" t="s">
        <v>73</v>
      </c>
      <c r="E4" s="7"/>
      <c r="F4" s="9"/>
      <c r="H4" s="43" t="s">
        <v>117</v>
      </c>
      <c r="I4" s="87">
        <v>33</v>
      </c>
      <c r="J4" s="87">
        <v>0</v>
      </c>
      <c r="K4" s="95">
        <f t="shared" si="0"/>
        <v>1</v>
      </c>
    </row>
    <row r="5" spans="1:11" x14ac:dyDescent="0.25">
      <c r="A5" s="69">
        <v>3</v>
      </c>
      <c r="B5" s="72" t="s">
        <v>103</v>
      </c>
      <c r="C5" s="48" t="s">
        <v>104</v>
      </c>
      <c r="D5" s="34" t="s">
        <v>73</v>
      </c>
      <c r="E5" s="7"/>
      <c r="F5" s="9"/>
      <c r="H5" s="43" t="s">
        <v>116</v>
      </c>
      <c r="I5" s="87">
        <v>2</v>
      </c>
      <c r="J5" s="87">
        <v>0</v>
      </c>
      <c r="K5" s="95">
        <f t="shared" si="0"/>
        <v>1</v>
      </c>
    </row>
    <row r="6" spans="1:11" x14ac:dyDescent="0.25">
      <c r="A6" s="69">
        <v>4</v>
      </c>
      <c r="B6" s="72" t="s">
        <v>105</v>
      </c>
      <c r="C6" s="48" t="s">
        <v>106</v>
      </c>
      <c r="D6" s="34" t="s">
        <v>73</v>
      </c>
      <c r="E6" s="7"/>
      <c r="F6" s="9"/>
      <c r="H6" s="43" t="s">
        <v>115</v>
      </c>
      <c r="I6" s="87">
        <v>2</v>
      </c>
      <c r="J6" s="87">
        <v>1</v>
      </c>
      <c r="K6" s="95">
        <f>((I6-J6)/I6)</f>
        <v>0.5</v>
      </c>
    </row>
    <row r="7" spans="1:11" x14ac:dyDescent="0.25">
      <c r="A7" s="69">
        <v>5</v>
      </c>
      <c r="B7" s="72" t="s">
        <v>86</v>
      </c>
      <c r="C7" s="48" t="s">
        <v>83</v>
      </c>
      <c r="D7" s="34" t="s">
        <v>73</v>
      </c>
      <c r="E7" s="7" t="s">
        <v>293</v>
      </c>
      <c r="F7" s="9"/>
      <c r="H7" s="36" t="s">
        <v>113</v>
      </c>
      <c r="I7" s="88">
        <v>4</v>
      </c>
      <c r="J7" s="88">
        <v>0</v>
      </c>
      <c r="K7" s="96">
        <f t="shared" si="0"/>
        <v>1</v>
      </c>
    </row>
    <row r="8" spans="1:11" x14ac:dyDescent="0.25">
      <c r="A8" s="69">
        <v>6</v>
      </c>
      <c r="B8" s="73" t="s">
        <v>87</v>
      </c>
      <c r="C8" s="47" t="s">
        <v>75</v>
      </c>
      <c r="D8" s="19" t="s">
        <v>74</v>
      </c>
      <c r="E8" s="20" t="s">
        <v>281</v>
      </c>
      <c r="F8" s="8"/>
      <c r="H8" s="37" t="s">
        <v>114</v>
      </c>
      <c r="I8" s="89">
        <v>1</v>
      </c>
      <c r="J8" s="89">
        <v>0</v>
      </c>
      <c r="K8" s="97">
        <f t="shared" si="0"/>
        <v>1</v>
      </c>
    </row>
    <row r="9" spans="1:11" x14ac:dyDescent="0.25">
      <c r="A9" s="69">
        <v>7</v>
      </c>
      <c r="B9" s="73" t="s">
        <v>8</v>
      </c>
      <c r="C9" s="47" t="s">
        <v>9</v>
      </c>
      <c r="D9" s="34" t="s">
        <v>73</v>
      </c>
      <c r="E9" s="20"/>
      <c r="F9" s="8"/>
      <c r="H9" s="38" t="s">
        <v>4</v>
      </c>
      <c r="I9" s="90">
        <v>3</v>
      </c>
      <c r="J9" s="102">
        <v>0</v>
      </c>
      <c r="K9" s="98">
        <f t="shared" si="0"/>
        <v>1</v>
      </c>
    </row>
    <row r="10" spans="1:11" x14ac:dyDescent="0.25">
      <c r="A10" s="69">
        <v>8</v>
      </c>
      <c r="B10" s="73" t="s">
        <v>88</v>
      </c>
      <c r="C10" s="47" t="s">
        <v>10</v>
      </c>
      <c r="D10" s="19" t="s">
        <v>74</v>
      </c>
      <c r="E10" s="7" t="s">
        <v>221</v>
      </c>
      <c r="F10" s="8" t="s">
        <v>216</v>
      </c>
      <c r="H10" s="39" t="s">
        <v>5</v>
      </c>
      <c r="I10" s="91">
        <v>1</v>
      </c>
      <c r="J10" s="91">
        <v>0</v>
      </c>
      <c r="K10" s="99">
        <f t="shared" si="0"/>
        <v>1</v>
      </c>
    </row>
    <row r="11" spans="1:11" x14ac:dyDescent="0.25">
      <c r="A11" s="69">
        <v>9</v>
      </c>
      <c r="B11" s="73" t="s">
        <v>76</v>
      </c>
      <c r="C11" s="47" t="s">
        <v>11</v>
      </c>
      <c r="D11" s="34" t="s">
        <v>73</v>
      </c>
      <c r="E11" s="7"/>
      <c r="F11" s="8"/>
      <c r="H11" s="40" t="s">
        <v>119</v>
      </c>
      <c r="I11" s="92">
        <v>1</v>
      </c>
      <c r="J11" s="103">
        <v>0</v>
      </c>
      <c r="K11" s="100">
        <f t="shared" si="0"/>
        <v>1</v>
      </c>
    </row>
    <row r="12" spans="1:11" x14ac:dyDescent="0.25">
      <c r="A12" s="69">
        <v>10</v>
      </c>
      <c r="B12" s="74" t="s">
        <v>85</v>
      </c>
      <c r="C12" s="47" t="s">
        <v>12</v>
      </c>
      <c r="D12" s="34" t="s">
        <v>73</v>
      </c>
      <c r="E12" s="7"/>
      <c r="F12" s="9"/>
      <c r="H12" s="40" t="s">
        <v>118</v>
      </c>
      <c r="I12" s="92">
        <v>2</v>
      </c>
      <c r="J12" s="103">
        <v>0</v>
      </c>
      <c r="K12" s="100">
        <f t="shared" si="0"/>
        <v>1</v>
      </c>
    </row>
    <row r="13" spans="1:11" x14ac:dyDescent="0.25">
      <c r="A13" s="69">
        <v>11</v>
      </c>
      <c r="B13" s="73" t="s">
        <v>6</v>
      </c>
      <c r="C13" s="47" t="s">
        <v>13</v>
      </c>
      <c r="D13" s="34" t="s">
        <v>73</v>
      </c>
      <c r="E13" s="7"/>
      <c r="F13" s="9"/>
      <c r="H13" s="84" t="s">
        <v>3</v>
      </c>
      <c r="I13" s="93">
        <v>2</v>
      </c>
      <c r="J13" s="93">
        <v>0</v>
      </c>
      <c r="K13" s="101">
        <f t="shared" si="0"/>
        <v>1</v>
      </c>
    </row>
    <row r="14" spans="1:11" x14ac:dyDescent="0.25">
      <c r="A14" s="69">
        <v>12</v>
      </c>
      <c r="B14" s="73" t="s">
        <v>89</v>
      </c>
      <c r="C14" s="47" t="s">
        <v>14</v>
      </c>
      <c r="D14" s="34" t="s">
        <v>73</v>
      </c>
      <c r="E14" s="7"/>
      <c r="F14" s="9"/>
      <c r="H14" s="109" t="s">
        <v>218</v>
      </c>
      <c r="I14" s="104">
        <v>5</v>
      </c>
      <c r="J14" s="104">
        <v>1</v>
      </c>
      <c r="K14" s="105">
        <f>((I14-J14)/I14)</f>
        <v>0.8</v>
      </c>
    </row>
    <row r="15" spans="1:11" ht="15.75" thickBot="1" x14ac:dyDescent="0.3">
      <c r="A15" s="69">
        <v>13</v>
      </c>
      <c r="B15" s="73" t="s">
        <v>77</v>
      </c>
      <c r="C15" s="47" t="s">
        <v>15</v>
      </c>
      <c r="D15" s="34" t="s">
        <v>73</v>
      </c>
      <c r="E15" s="7" t="s">
        <v>294</v>
      </c>
      <c r="F15" s="9"/>
      <c r="G15" s="83"/>
      <c r="H15" s="84" t="s">
        <v>236</v>
      </c>
      <c r="I15" s="93">
        <v>1</v>
      </c>
      <c r="J15" s="93">
        <v>0</v>
      </c>
      <c r="K15" s="101">
        <f t="shared" ref="K15" si="1">((I15-J15)/I15)</f>
        <v>1</v>
      </c>
    </row>
    <row r="16" spans="1:11" ht="15.75" thickBot="1" x14ac:dyDescent="0.3">
      <c r="A16" s="69">
        <v>14</v>
      </c>
      <c r="B16" s="72" t="s">
        <v>84</v>
      </c>
      <c r="C16" s="47" t="s">
        <v>16</v>
      </c>
      <c r="D16" s="34" t="s">
        <v>73</v>
      </c>
      <c r="E16" s="7" t="s">
        <v>295</v>
      </c>
      <c r="F16" s="9"/>
      <c r="H16" s="106" t="s">
        <v>122</v>
      </c>
      <c r="I16" s="107">
        <f>SUM(I3:I15)</f>
        <v>66</v>
      </c>
      <c r="J16" s="107">
        <f>SUM(J3:J15)</f>
        <v>4</v>
      </c>
      <c r="K16" s="108">
        <f>((I16-J16)/I16)</f>
        <v>0.93939393939393945</v>
      </c>
    </row>
    <row r="17" spans="1:6" x14ac:dyDescent="0.25">
      <c r="A17" s="69">
        <v>15</v>
      </c>
      <c r="B17" s="74" t="s">
        <v>85</v>
      </c>
      <c r="C17" s="47" t="s">
        <v>21</v>
      </c>
      <c r="D17" s="34" t="s">
        <v>73</v>
      </c>
      <c r="E17" s="7"/>
      <c r="F17" s="9"/>
    </row>
    <row r="18" spans="1:6" x14ac:dyDescent="0.25">
      <c r="A18" s="69">
        <v>16</v>
      </c>
      <c r="B18" s="73" t="s">
        <v>79</v>
      </c>
      <c r="C18" s="47" t="s">
        <v>22</v>
      </c>
      <c r="D18" s="19" t="s">
        <v>74</v>
      </c>
      <c r="E18" s="7" t="s">
        <v>240</v>
      </c>
      <c r="F18" s="9" t="s">
        <v>306</v>
      </c>
    </row>
    <row r="19" spans="1:6" x14ac:dyDescent="0.25">
      <c r="A19" s="69">
        <v>17</v>
      </c>
      <c r="B19" s="74" t="s">
        <v>85</v>
      </c>
      <c r="C19" s="47" t="s">
        <v>46</v>
      </c>
      <c r="D19" s="34" t="s">
        <v>73</v>
      </c>
      <c r="E19" s="7"/>
      <c r="F19" s="9"/>
    </row>
    <row r="20" spans="1:6" x14ac:dyDescent="0.25">
      <c r="A20" s="69">
        <v>18</v>
      </c>
      <c r="B20" s="73" t="s">
        <v>90</v>
      </c>
      <c r="C20" s="47" t="s">
        <v>38</v>
      </c>
      <c r="D20" s="34" t="s">
        <v>73</v>
      </c>
      <c r="E20" s="7"/>
      <c r="F20" s="9"/>
    </row>
    <row r="21" spans="1:6" x14ac:dyDescent="0.25">
      <c r="A21" s="69">
        <v>19</v>
      </c>
      <c r="B21" s="73" t="s">
        <v>91</v>
      </c>
      <c r="C21" s="47" t="s">
        <v>44</v>
      </c>
      <c r="D21" s="34" t="s">
        <v>73</v>
      </c>
      <c r="E21" s="7"/>
      <c r="F21" s="9"/>
    </row>
    <row r="22" spans="1:6" x14ac:dyDescent="0.25">
      <c r="A22" s="69">
        <v>20</v>
      </c>
      <c r="B22" s="73" t="s">
        <v>77</v>
      </c>
      <c r="C22" s="47" t="s">
        <v>37</v>
      </c>
      <c r="D22" s="34" t="s">
        <v>73</v>
      </c>
      <c r="E22" s="7" t="s">
        <v>296</v>
      </c>
      <c r="F22" s="9"/>
    </row>
    <row r="23" spans="1:6" x14ac:dyDescent="0.25">
      <c r="A23" s="69">
        <v>21</v>
      </c>
      <c r="B23" s="73" t="s">
        <v>92</v>
      </c>
      <c r="C23" s="47" t="s">
        <v>39</v>
      </c>
      <c r="D23" s="34" t="s">
        <v>73</v>
      </c>
      <c r="E23" s="7"/>
      <c r="F23" s="9"/>
    </row>
    <row r="24" spans="1:6" x14ac:dyDescent="0.25">
      <c r="A24" s="69">
        <v>22</v>
      </c>
      <c r="B24" s="73" t="s">
        <v>97</v>
      </c>
      <c r="C24" s="47" t="s">
        <v>42</v>
      </c>
      <c r="D24" s="34" t="s">
        <v>73</v>
      </c>
      <c r="E24" s="7"/>
      <c r="F24" s="9"/>
    </row>
    <row r="25" spans="1:6" x14ac:dyDescent="0.25">
      <c r="A25" s="69">
        <v>23</v>
      </c>
      <c r="B25" s="73" t="s">
        <v>93</v>
      </c>
      <c r="C25" s="47" t="s">
        <v>43</v>
      </c>
      <c r="D25" s="34" t="s">
        <v>73</v>
      </c>
      <c r="E25" s="7" t="s">
        <v>297</v>
      </c>
      <c r="F25" s="9"/>
    </row>
    <row r="26" spans="1:6" x14ac:dyDescent="0.25">
      <c r="A26" s="69">
        <v>24</v>
      </c>
      <c r="B26" s="73" t="s">
        <v>123</v>
      </c>
      <c r="C26" s="47" t="s">
        <v>40</v>
      </c>
      <c r="D26" s="34" t="s">
        <v>73</v>
      </c>
      <c r="E26" s="7"/>
      <c r="F26" s="9"/>
    </row>
    <row r="27" spans="1:6" x14ac:dyDescent="0.25">
      <c r="A27" s="69">
        <v>25</v>
      </c>
      <c r="B27" s="73" t="s">
        <v>78</v>
      </c>
      <c r="C27" s="47" t="s">
        <v>41</v>
      </c>
      <c r="D27" s="34" t="s">
        <v>73</v>
      </c>
      <c r="E27" s="7" t="s">
        <v>283</v>
      </c>
      <c r="F27" s="9"/>
    </row>
    <row r="28" spans="1:6" x14ac:dyDescent="0.25">
      <c r="A28" s="69">
        <v>26</v>
      </c>
      <c r="B28" s="73" t="s">
        <v>80</v>
      </c>
      <c r="C28" s="47" t="s">
        <v>47</v>
      </c>
      <c r="D28" s="34" t="s">
        <v>73</v>
      </c>
      <c r="E28" s="7"/>
      <c r="F28" s="9"/>
    </row>
    <row r="29" spans="1:6" x14ac:dyDescent="0.25">
      <c r="A29" s="69">
        <v>27</v>
      </c>
      <c r="B29" s="73" t="s">
        <v>94</v>
      </c>
      <c r="C29" s="47" t="s">
        <v>48</v>
      </c>
      <c r="D29" s="34" t="s">
        <v>73</v>
      </c>
      <c r="E29" s="7"/>
      <c r="F29" s="9"/>
    </row>
    <row r="30" spans="1:6" x14ac:dyDescent="0.25">
      <c r="A30" s="69">
        <v>28</v>
      </c>
      <c r="B30" s="73" t="s">
        <v>78</v>
      </c>
      <c r="C30" s="47" t="s">
        <v>49</v>
      </c>
      <c r="D30" s="34" t="s">
        <v>73</v>
      </c>
      <c r="E30" s="7" t="s">
        <v>296</v>
      </c>
      <c r="F30" s="9"/>
    </row>
    <row r="31" spans="1:6" x14ac:dyDescent="0.25">
      <c r="A31" s="69">
        <v>29</v>
      </c>
      <c r="B31" s="73" t="s">
        <v>92</v>
      </c>
      <c r="C31" s="47" t="s">
        <v>50</v>
      </c>
      <c r="D31" s="34" t="s">
        <v>73</v>
      </c>
      <c r="E31" s="7"/>
      <c r="F31" s="9"/>
    </row>
    <row r="32" spans="1:6" x14ac:dyDescent="0.25">
      <c r="A32" s="69">
        <v>30</v>
      </c>
      <c r="B32" s="73" t="s">
        <v>90</v>
      </c>
      <c r="C32" s="47" t="s">
        <v>51</v>
      </c>
      <c r="D32" s="34" t="s">
        <v>73</v>
      </c>
      <c r="E32" s="7" t="s">
        <v>298</v>
      </c>
      <c r="F32" s="9"/>
    </row>
    <row r="33" spans="1:6" x14ac:dyDescent="0.25">
      <c r="A33" s="69">
        <v>31</v>
      </c>
      <c r="B33" s="74" t="s">
        <v>85</v>
      </c>
      <c r="C33" s="47" t="s">
        <v>52</v>
      </c>
      <c r="D33" s="34" t="s">
        <v>73</v>
      </c>
      <c r="E33" s="7"/>
      <c r="F33" s="9"/>
    </row>
    <row r="34" spans="1:6" x14ac:dyDescent="0.25">
      <c r="A34" s="69">
        <v>32</v>
      </c>
      <c r="B34" s="72" t="s">
        <v>84</v>
      </c>
      <c r="C34" s="47" t="s">
        <v>53</v>
      </c>
      <c r="D34" s="34" t="s">
        <v>73</v>
      </c>
      <c r="E34" s="7"/>
      <c r="F34" s="9"/>
    </row>
    <row r="35" spans="1:6" x14ac:dyDescent="0.25">
      <c r="A35" s="69">
        <v>33</v>
      </c>
      <c r="B35" s="73" t="s">
        <v>79</v>
      </c>
      <c r="C35" s="47" t="s">
        <v>54</v>
      </c>
      <c r="D35" s="34" t="s">
        <v>73</v>
      </c>
      <c r="E35" s="7" t="s">
        <v>299</v>
      </c>
      <c r="F35" s="9"/>
    </row>
    <row r="36" spans="1:6" x14ac:dyDescent="0.25">
      <c r="A36" s="69">
        <v>34</v>
      </c>
      <c r="B36" s="74" t="s">
        <v>85</v>
      </c>
      <c r="C36" s="47" t="s">
        <v>55</v>
      </c>
      <c r="D36" s="34" t="s">
        <v>73</v>
      </c>
      <c r="E36" s="7"/>
      <c r="F36" s="9"/>
    </row>
    <row r="37" spans="1:6" x14ac:dyDescent="0.25">
      <c r="A37" s="69">
        <v>35</v>
      </c>
      <c r="B37" s="73" t="s">
        <v>78</v>
      </c>
      <c r="C37" s="47" t="s">
        <v>56</v>
      </c>
      <c r="D37" s="34" t="s">
        <v>73</v>
      </c>
      <c r="E37" s="7"/>
      <c r="F37" s="8"/>
    </row>
    <row r="38" spans="1:6" x14ac:dyDescent="0.25">
      <c r="A38" s="69">
        <v>36</v>
      </c>
      <c r="B38" s="73" t="s">
        <v>92</v>
      </c>
      <c r="C38" s="47" t="s">
        <v>57</v>
      </c>
      <c r="D38" s="34" t="s">
        <v>73</v>
      </c>
      <c r="E38" s="7" t="s">
        <v>274</v>
      </c>
      <c r="F38" s="9"/>
    </row>
    <row r="39" spans="1:6" x14ac:dyDescent="0.25">
      <c r="A39" s="69">
        <v>37</v>
      </c>
      <c r="B39" s="73" t="s">
        <v>88</v>
      </c>
      <c r="C39" s="47" t="s">
        <v>58</v>
      </c>
      <c r="D39" s="34" t="s">
        <v>73</v>
      </c>
      <c r="E39" s="7"/>
      <c r="F39" s="9"/>
    </row>
    <row r="40" spans="1:6" x14ac:dyDescent="0.25">
      <c r="A40" s="69">
        <v>38</v>
      </c>
      <c r="B40" s="72" t="s">
        <v>84</v>
      </c>
      <c r="C40" s="47" t="s">
        <v>59</v>
      </c>
      <c r="D40" s="34" t="s">
        <v>73</v>
      </c>
      <c r="E40" s="7" t="s">
        <v>286</v>
      </c>
      <c r="F40" s="9"/>
    </row>
    <row r="41" spans="1:6" x14ac:dyDescent="0.25">
      <c r="A41" s="69">
        <v>39</v>
      </c>
      <c r="B41" s="72" t="s">
        <v>98</v>
      </c>
      <c r="C41" s="47" t="s">
        <v>99</v>
      </c>
      <c r="D41" s="34" t="s">
        <v>73</v>
      </c>
      <c r="E41" s="7"/>
      <c r="F41" s="9"/>
    </row>
    <row r="42" spans="1:6" x14ac:dyDescent="0.25">
      <c r="A42" s="69">
        <v>40</v>
      </c>
      <c r="B42" s="73" t="s">
        <v>8</v>
      </c>
      <c r="C42" s="47" t="s">
        <v>62</v>
      </c>
      <c r="D42" s="34" t="s">
        <v>73</v>
      </c>
      <c r="E42" s="7" t="s">
        <v>300</v>
      </c>
      <c r="F42" s="9"/>
    </row>
    <row r="43" spans="1:6" x14ac:dyDescent="0.25">
      <c r="A43" s="69">
        <v>41</v>
      </c>
      <c r="B43" s="73" t="s">
        <v>93</v>
      </c>
      <c r="C43" s="47" t="s">
        <v>63</v>
      </c>
      <c r="D43" s="34" t="s">
        <v>73</v>
      </c>
      <c r="E43" s="7"/>
      <c r="F43" s="9"/>
    </row>
    <row r="44" spans="1:6" x14ac:dyDescent="0.25">
      <c r="A44" s="69">
        <v>42</v>
      </c>
      <c r="B44" s="73" t="s">
        <v>77</v>
      </c>
      <c r="C44" s="47" t="s">
        <v>65</v>
      </c>
      <c r="D44" s="34" t="s">
        <v>73</v>
      </c>
      <c r="E44" s="7" t="s">
        <v>301</v>
      </c>
      <c r="F44" s="9"/>
    </row>
    <row r="45" spans="1:6" x14ac:dyDescent="0.25">
      <c r="A45" s="69">
        <v>43</v>
      </c>
      <c r="B45" s="73" t="s">
        <v>95</v>
      </c>
      <c r="C45" s="47" t="s">
        <v>60</v>
      </c>
      <c r="D45" s="34" t="s">
        <v>73</v>
      </c>
      <c r="E45" s="7"/>
      <c r="F45" s="9"/>
    </row>
    <row r="46" spans="1:6" x14ac:dyDescent="0.25">
      <c r="A46" s="69">
        <v>44</v>
      </c>
      <c r="B46" s="73" t="s">
        <v>96</v>
      </c>
      <c r="C46" s="47" t="s">
        <v>61</v>
      </c>
      <c r="D46" s="34" t="s">
        <v>73</v>
      </c>
      <c r="E46" s="7"/>
      <c r="F46" s="9"/>
    </row>
    <row r="47" spans="1:6" x14ac:dyDescent="0.25">
      <c r="A47" s="69">
        <v>45</v>
      </c>
      <c r="B47" s="73" t="s">
        <v>91</v>
      </c>
      <c r="C47" s="47" t="s">
        <v>64</v>
      </c>
      <c r="D47" s="34" t="s">
        <v>73</v>
      </c>
      <c r="E47" s="7" t="s">
        <v>302</v>
      </c>
      <c r="F47" s="9"/>
    </row>
    <row r="48" spans="1:6" x14ac:dyDescent="0.25">
      <c r="A48" s="69">
        <v>46</v>
      </c>
      <c r="B48" s="73" t="s">
        <v>88</v>
      </c>
      <c r="C48" s="47" t="s">
        <v>23</v>
      </c>
      <c r="D48" s="34" t="s">
        <v>73</v>
      </c>
      <c r="E48" s="7"/>
      <c r="F48" s="9"/>
    </row>
    <row r="49" spans="1:6" x14ac:dyDescent="0.25">
      <c r="A49" s="69">
        <v>47</v>
      </c>
      <c r="B49" s="73" t="s">
        <v>81</v>
      </c>
      <c r="C49" s="47" t="s">
        <v>24</v>
      </c>
      <c r="D49" s="34" t="s">
        <v>73</v>
      </c>
      <c r="E49" s="7"/>
      <c r="F49" s="9"/>
    </row>
    <row r="50" spans="1:6" x14ac:dyDescent="0.25">
      <c r="A50" s="69">
        <v>48</v>
      </c>
      <c r="B50" s="73" t="s">
        <v>81</v>
      </c>
      <c r="C50" s="47" t="s">
        <v>25</v>
      </c>
      <c r="D50" s="34" t="s">
        <v>73</v>
      </c>
      <c r="E50" s="7"/>
      <c r="F50" s="9"/>
    </row>
    <row r="51" spans="1:6" x14ac:dyDescent="0.25">
      <c r="A51" s="69">
        <v>49</v>
      </c>
      <c r="B51" s="74" t="s">
        <v>100</v>
      </c>
      <c r="C51" s="47" t="s">
        <v>26</v>
      </c>
      <c r="D51" s="34" t="s">
        <v>73</v>
      </c>
      <c r="E51" s="7" t="s">
        <v>304</v>
      </c>
      <c r="F51" s="9"/>
    </row>
    <row r="52" spans="1:6" x14ac:dyDescent="0.25">
      <c r="A52" s="69">
        <v>50</v>
      </c>
      <c r="B52" s="74" t="s">
        <v>100</v>
      </c>
      <c r="C52" s="47" t="s">
        <v>27</v>
      </c>
      <c r="D52" s="34" t="s">
        <v>73</v>
      </c>
      <c r="E52" s="21"/>
      <c r="F52" s="9"/>
    </row>
    <row r="53" spans="1:6" x14ac:dyDescent="0.25">
      <c r="A53" s="69">
        <v>51</v>
      </c>
      <c r="B53" s="74" t="s">
        <v>100</v>
      </c>
      <c r="C53" s="47" t="s">
        <v>28</v>
      </c>
      <c r="D53" s="122" t="s">
        <v>308</v>
      </c>
      <c r="E53" s="7"/>
      <c r="F53" s="9"/>
    </row>
    <row r="54" spans="1:6" x14ac:dyDescent="0.25">
      <c r="A54" s="69">
        <v>52</v>
      </c>
      <c r="B54" s="74" t="s">
        <v>100</v>
      </c>
      <c r="C54" s="47" t="s">
        <v>29</v>
      </c>
      <c r="D54" s="34" t="s">
        <v>73</v>
      </c>
      <c r="E54" s="21"/>
      <c r="F54" s="9"/>
    </row>
    <row r="55" spans="1:6" x14ac:dyDescent="0.25">
      <c r="A55" s="69">
        <v>53</v>
      </c>
      <c r="B55" s="74" t="s">
        <v>100</v>
      </c>
      <c r="C55" s="49" t="s">
        <v>30</v>
      </c>
      <c r="D55" s="34" t="s">
        <v>73</v>
      </c>
      <c r="E55" s="7"/>
      <c r="F55" s="9"/>
    </row>
    <row r="56" spans="1:6" x14ac:dyDescent="0.25">
      <c r="A56" s="69">
        <v>54</v>
      </c>
      <c r="B56" s="72" t="s">
        <v>84</v>
      </c>
      <c r="C56" s="49" t="s">
        <v>31</v>
      </c>
      <c r="D56" s="34" t="s">
        <v>73</v>
      </c>
      <c r="E56" s="7"/>
      <c r="F56" s="9"/>
    </row>
    <row r="57" spans="1:6" x14ac:dyDescent="0.25">
      <c r="A57" s="69">
        <v>55</v>
      </c>
      <c r="B57" s="74" t="s">
        <v>85</v>
      </c>
      <c r="C57" s="49" t="s">
        <v>32</v>
      </c>
      <c r="D57" s="34" t="s">
        <v>73</v>
      </c>
      <c r="E57" s="7"/>
      <c r="F57" s="9"/>
    </row>
    <row r="58" spans="1:6" x14ac:dyDescent="0.25">
      <c r="A58" s="69">
        <v>56</v>
      </c>
      <c r="B58" s="74" t="s">
        <v>123</v>
      </c>
      <c r="C58" s="49" t="s">
        <v>33</v>
      </c>
      <c r="D58" s="34" t="s">
        <v>73</v>
      </c>
      <c r="E58" s="7"/>
      <c r="F58" s="9"/>
    </row>
    <row r="59" spans="1:6" x14ac:dyDescent="0.25">
      <c r="A59" s="69">
        <v>57</v>
      </c>
      <c r="B59" s="74" t="s">
        <v>82</v>
      </c>
      <c r="C59" s="49" t="s">
        <v>34</v>
      </c>
      <c r="D59" s="34" t="s">
        <v>73</v>
      </c>
      <c r="E59" s="7"/>
      <c r="F59" s="9"/>
    </row>
    <row r="60" spans="1:6" x14ac:dyDescent="0.25">
      <c r="A60" s="69">
        <v>58</v>
      </c>
      <c r="B60" s="74" t="s">
        <v>82</v>
      </c>
      <c r="C60" s="49" t="s">
        <v>35</v>
      </c>
      <c r="D60" s="34" t="s">
        <v>73</v>
      </c>
      <c r="E60" s="7"/>
      <c r="F60" s="9"/>
    </row>
    <row r="61" spans="1:6" x14ac:dyDescent="0.25">
      <c r="A61" s="69">
        <v>59</v>
      </c>
      <c r="B61" s="74" t="s">
        <v>107</v>
      </c>
      <c r="C61" s="49" t="s">
        <v>36</v>
      </c>
      <c r="D61" s="34" t="s">
        <v>73</v>
      </c>
      <c r="E61" s="3"/>
      <c r="F61" s="8"/>
    </row>
    <row r="62" spans="1:6" x14ac:dyDescent="0.25">
      <c r="A62" s="69">
        <v>60</v>
      </c>
      <c r="B62" s="74" t="s">
        <v>100</v>
      </c>
      <c r="C62" s="49" t="s">
        <v>68</v>
      </c>
      <c r="D62" s="19" t="s">
        <v>74</v>
      </c>
      <c r="E62" s="7" t="s">
        <v>240</v>
      </c>
      <c r="F62" s="9"/>
    </row>
    <row r="63" spans="1:6" x14ac:dyDescent="0.25">
      <c r="A63" s="70">
        <v>61</v>
      </c>
      <c r="B63" s="74" t="s">
        <v>100</v>
      </c>
      <c r="C63" s="49" t="s">
        <v>108</v>
      </c>
      <c r="D63" s="34" t="s">
        <v>73</v>
      </c>
      <c r="E63" s="7"/>
      <c r="F63" s="9"/>
    </row>
    <row r="64" spans="1:6" x14ac:dyDescent="0.25">
      <c r="A64" s="71">
        <v>62</v>
      </c>
      <c r="B64" s="74" t="s">
        <v>212</v>
      </c>
      <c r="C64" s="64" t="s">
        <v>124</v>
      </c>
      <c r="D64" s="65" t="s">
        <v>73</v>
      </c>
      <c r="E64" s="66"/>
      <c r="F64" s="67"/>
    </row>
    <row r="65" spans="1:6" x14ac:dyDescent="0.25">
      <c r="A65" s="70">
        <v>63</v>
      </c>
      <c r="B65" s="75" t="s">
        <v>77</v>
      </c>
      <c r="C65" s="49" t="s">
        <v>214</v>
      </c>
      <c r="D65" s="76" t="s">
        <v>73</v>
      </c>
      <c r="E65" s="7"/>
      <c r="F65" s="9"/>
    </row>
    <row r="66" spans="1:6" x14ac:dyDescent="0.25">
      <c r="A66" s="70">
        <v>64</v>
      </c>
      <c r="B66" s="74" t="s">
        <v>84</v>
      </c>
      <c r="C66" s="49" t="s">
        <v>215</v>
      </c>
      <c r="D66" s="76" t="s">
        <v>73</v>
      </c>
      <c r="E66" s="7"/>
      <c r="F66" s="9"/>
    </row>
    <row r="67" spans="1:6" x14ac:dyDescent="0.25">
      <c r="A67" s="119">
        <v>65</v>
      </c>
      <c r="B67" s="74" t="s">
        <v>87</v>
      </c>
      <c r="C67" s="117" t="s">
        <v>217</v>
      </c>
      <c r="D67" s="76" t="s">
        <v>73</v>
      </c>
      <c r="E67" s="7" t="s">
        <v>303</v>
      </c>
      <c r="F67" s="118"/>
    </row>
    <row r="68" spans="1:6" ht="15.75" thickBot="1" x14ac:dyDescent="0.3">
      <c r="A68" s="78">
        <v>66</v>
      </c>
      <c r="B68" s="120" t="s">
        <v>84</v>
      </c>
      <c r="C68" s="79" t="s">
        <v>19</v>
      </c>
      <c r="D68" s="77" t="s">
        <v>73</v>
      </c>
      <c r="E68" s="116" t="s">
        <v>264</v>
      </c>
      <c r="F68" s="80" t="s">
        <v>265</v>
      </c>
    </row>
    <row r="69" spans="1:6" x14ac:dyDescent="0.25">
      <c r="A69" s="45"/>
      <c r="B69" s="30"/>
      <c r="C69" s="31"/>
      <c r="D69" s="31"/>
      <c r="E69" s="32"/>
      <c r="F69" s="33"/>
    </row>
    <row r="71" spans="1:6" x14ac:dyDescent="0.25">
      <c r="B71" s="27" t="s">
        <v>69</v>
      </c>
      <c r="C71" s="28"/>
      <c r="D71" s="13"/>
    </row>
    <row r="72" spans="1:6" x14ac:dyDescent="0.25">
      <c r="B72" s="14"/>
      <c r="C72" s="15"/>
      <c r="D72" s="16"/>
    </row>
    <row r="73" spans="1:6" x14ac:dyDescent="0.25">
      <c r="B73" s="17" t="s">
        <v>70</v>
      </c>
      <c r="C73" s="26" t="s">
        <v>223</v>
      </c>
      <c r="D73" s="16"/>
    </row>
    <row r="74" spans="1:6" x14ac:dyDescent="0.25">
      <c r="B74" s="17" t="s">
        <v>71</v>
      </c>
      <c r="C74" s="26" t="s">
        <v>219</v>
      </c>
      <c r="D74" s="15" t="s">
        <v>220</v>
      </c>
    </row>
    <row r="75" spans="1:6" x14ac:dyDescent="0.25">
      <c r="B75" s="17" t="s">
        <v>72</v>
      </c>
      <c r="C75" s="25" t="s">
        <v>222</v>
      </c>
      <c r="D75" s="29" t="s">
        <v>226</v>
      </c>
    </row>
    <row r="76" spans="1:6" x14ac:dyDescent="0.25">
      <c r="B76" s="18" t="s">
        <v>109</v>
      </c>
      <c r="C76" s="24" t="s">
        <v>305</v>
      </c>
      <c r="D76" s="29"/>
      <c r="E76" s="1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7"/>
  <sheetViews>
    <sheetView topLeftCell="A10" workbookViewId="0">
      <selection activeCell="E34" sqref="E34"/>
    </sheetView>
  </sheetViews>
  <sheetFormatPr defaultRowHeight="15" x14ac:dyDescent="0.25"/>
  <cols>
    <col min="1" max="1" width="22.85546875" customWidth="1"/>
    <col min="2" max="2" width="17.85546875" customWidth="1"/>
    <col min="3" max="3" width="27.5703125" customWidth="1"/>
    <col min="4" max="4" width="19" customWidth="1"/>
    <col min="5" max="5" width="134.42578125" bestFit="1" customWidth="1"/>
  </cols>
  <sheetData>
    <row r="1" spans="1:5" ht="26.25" x14ac:dyDescent="0.4">
      <c r="B1" s="121" t="s">
        <v>200</v>
      </c>
      <c r="C1" s="121"/>
      <c r="D1" s="121"/>
      <c r="E1" s="121"/>
    </row>
    <row r="2" spans="1:5" x14ac:dyDescent="0.25">
      <c r="A2" s="58" t="s">
        <v>125</v>
      </c>
      <c r="B2" s="58" t="s">
        <v>126</v>
      </c>
      <c r="C2" s="58" t="s">
        <v>131</v>
      </c>
      <c r="D2" s="58" t="s">
        <v>127</v>
      </c>
      <c r="E2" s="59" t="s">
        <v>128</v>
      </c>
    </row>
    <row r="3" spans="1:5" x14ac:dyDescent="0.25">
      <c r="A3" s="54" t="s">
        <v>129</v>
      </c>
      <c r="B3" s="55" t="s">
        <v>38</v>
      </c>
      <c r="C3" s="55" t="s">
        <v>132</v>
      </c>
      <c r="D3" s="55" t="s">
        <v>160</v>
      </c>
      <c r="E3" s="57" t="s">
        <v>201</v>
      </c>
    </row>
    <row r="4" spans="1:5" x14ac:dyDescent="0.25">
      <c r="A4" s="55"/>
      <c r="B4" s="55" t="s">
        <v>51</v>
      </c>
      <c r="C4" s="55" t="s">
        <v>132</v>
      </c>
      <c r="D4" s="55" t="s">
        <v>160</v>
      </c>
      <c r="E4" s="57" t="s">
        <v>205</v>
      </c>
    </row>
    <row r="5" spans="1:5" x14ac:dyDescent="0.25">
      <c r="A5" s="54" t="s">
        <v>133</v>
      </c>
      <c r="B5" s="55"/>
      <c r="C5" s="55"/>
      <c r="D5" s="55"/>
      <c r="E5" s="57"/>
    </row>
    <row r="6" spans="1:5" x14ac:dyDescent="0.25">
      <c r="A6" s="55"/>
      <c r="B6" s="55" t="s">
        <v>7</v>
      </c>
      <c r="C6" s="55" t="s">
        <v>134</v>
      </c>
      <c r="D6" s="55"/>
      <c r="E6" s="57" t="s">
        <v>135</v>
      </c>
    </row>
    <row r="7" spans="1:5" x14ac:dyDescent="0.25">
      <c r="A7" s="55"/>
      <c r="B7" s="55"/>
      <c r="C7" s="55"/>
      <c r="D7" s="55"/>
      <c r="E7" s="57"/>
    </row>
    <row r="8" spans="1:5" x14ac:dyDescent="0.25">
      <c r="A8" s="58" t="s">
        <v>125</v>
      </c>
      <c r="B8" s="58" t="s">
        <v>126</v>
      </c>
      <c r="C8" s="58" t="s">
        <v>131</v>
      </c>
      <c r="D8" s="58" t="s">
        <v>127</v>
      </c>
      <c r="E8" s="59" t="s">
        <v>128</v>
      </c>
    </row>
    <row r="9" spans="1:5" x14ac:dyDescent="0.25">
      <c r="A9" s="54" t="s">
        <v>130</v>
      </c>
      <c r="B9" s="55" t="s">
        <v>158</v>
      </c>
      <c r="C9" s="55" t="s">
        <v>157</v>
      </c>
      <c r="D9" s="55" t="s">
        <v>142</v>
      </c>
      <c r="E9" s="57" t="s">
        <v>202</v>
      </c>
    </row>
    <row r="10" spans="1:5" x14ac:dyDescent="0.25">
      <c r="A10" s="54"/>
      <c r="B10" s="55"/>
      <c r="C10" s="55"/>
      <c r="D10" s="55"/>
      <c r="E10" s="57"/>
    </row>
    <row r="11" spans="1:5" x14ac:dyDescent="0.25">
      <c r="A11" s="58" t="s">
        <v>125</v>
      </c>
      <c r="B11" s="58" t="s">
        <v>126</v>
      </c>
      <c r="C11" s="58" t="s">
        <v>131</v>
      </c>
      <c r="D11" s="58" t="s">
        <v>127</v>
      </c>
      <c r="E11" s="59" t="s">
        <v>128</v>
      </c>
    </row>
    <row r="12" spans="1:5" x14ac:dyDescent="0.25">
      <c r="A12" s="54" t="s">
        <v>91</v>
      </c>
      <c r="B12" s="55" t="s">
        <v>44</v>
      </c>
      <c r="C12" s="55" t="s">
        <v>132</v>
      </c>
      <c r="D12" s="55" t="s">
        <v>142</v>
      </c>
      <c r="E12" s="57" t="s">
        <v>204</v>
      </c>
    </row>
    <row r="13" spans="1:5" x14ac:dyDescent="0.25">
      <c r="A13" s="54"/>
      <c r="B13" s="55" t="s">
        <v>147</v>
      </c>
      <c r="C13" s="55" t="s">
        <v>148</v>
      </c>
      <c r="D13" s="55" t="s">
        <v>142</v>
      </c>
      <c r="E13" s="57" t="s">
        <v>145</v>
      </c>
    </row>
    <row r="14" spans="1:5" x14ac:dyDescent="0.25">
      <c r="A14" s="54"/>
      <c r="B14" s="55" t="s">
        <v>106</v>
      </c>
      <c r="C14" s="55" t="s">
        <v>150</v>
      </c>
      <c r="D14" s="55" t="s">
        <v>142</v>
      </c>
      <c r="E14" s="57" t="s">
        <v>203</v>
      </c>
    </row>
    <row r="15" spans="1:5" x14ac:dyDescent="0.25">
      <c r="A15" s="54"/>
      <c r="B15" s="55"/>
      <c r="C15" s="55"/>
      <c r="D15" s="55"/>
      <c r="E15" s="57"/>
    </row>
    <row r="16" spans="1:5" x14ac:dyDescent="0.25">
      <c r="A16" s="54" t="s">
        <v>103</v>
      </c>
      <c r="B16" s="55" t="s">
        <v>104</v>
      </c>
      <c r="C16" s="57" t="s">
        <v>183</v>
      </c>
      <c r="D16" s="55" t="s">
        <v>142</v>
      </c>
      <c r="E16" s="57" t="s">
        <v>165</v>
      </c>
    </row>
    <row r="17" spans="1:5" x14ac:dyDescent="0.25">
      <c r="A17" s="54"/>
      <c r="B17" s="55"/>
      <c r="C17" s="57"/>
      <c r="D17" s="55"/>
      <c r="E17" s="57"/>
    </row>
    <row r="18" spans="1:5" x14ac:dyDescent="0.25">
      <c r="A18" s="58" t="s">
        <v>125</v>
      </c>
      <c r="B18" s="58" t="s">
        <v>126</v>
      </c>
      <c r="C18" s="58"/>
      <c r="D18" s="58" t="s">
        <v>127</v>
      </c>
      <c r="E18" s="60"/>
    </row>
    <row r="19" spans="1:5" x14ac:dyDescent="0.25">
      <c r="A19" s="54" t="s">
        <v>78</v>
      </c>
      <c r="B19" s="55" t="s">
        <v>49</v>
      </c>
      <c r="C19" s="55" t="s">
        <v>136</v>
      </c>
      <c r="D19" s="55" t="s">
        <v>139</v>
      </c>
      <c r="E19" s="57" t="s">
        <v>145</v>
      </c>
    </row>
    <row r="20" spans="1:5" x14ac:dyDescent="0.25">
      <c r="A20" s="56"/>
      <c r="B20" s="55" t="s">
        <v>41</v>
      </c>
      <c r="C20" s="55" t="s">
        <v>132</v>
      </c>
      <c r="D20" s="55" t="s">
        <v>139</v>
      </c>
      <c r="E20" s="57" t="s">
        <v>145</v>
      </c>
    </row>
    <row r="21" spans="1:5" x14ac:dyDescent="0.25">
      <c r="A21" s="56"/>
      <c r="B21" s="55" t="s">
        <v>56</v>
      </c>
      <c r="C21" s="55" t="s">
        <v>132</v>
      </c>
      <c r="D21" s="55" t="s">
        <v>139</v>
      </c>
      <c r="E21" s="57" t="s">
        <v>145</v>
      </c>
    </row>
    <row r="22" spans="1:5" x14ac:dyDescent="0.25">
      <c r="A22" s="55"/>
      <c r="B22" s="55" t="s">
        <v>20</v>
      </c>
      <c r="C22" s="55" t="s">
        <v>138</v>
      </c>
      <c r="D22" s="55" t="s">
        <v>139</v>
      </c>
      <c r="E22" s="57" t="s">
        <v>207</v>
      </c>
    </row>
    <row r="23" spans="1:5" x14ac:dyDescent="0.25">
      <c r="A23" s="58" t="s">
        <v>125</v>
      </c>
      <c r="B23" s="58" t="s">
        <v>126</v>
      </c>
      <c r="C23" s="58"/>
      <c r="D23" s="58" t="s">
        <v>127</v>
      </c>
      <c r="E23" s="60"/>
    </row>
    <row r="24" spans="1:5" x14ac:dyDescent="0.25">
      <c r="A24" s="54" t="s">
        <v>140</v>
      </c>
      <c r="B24" s="55" t="s">
        <v>42</v>
      </c>
      <c r="C24" s="55" t="s">
        <v>132</v>
      </c>
      <c r="D24" s="55" t="s">
        <v>139</v>
      </c>
      <c r="E24" s="57" t="s">
        <v>146</v>
      </c>
    </row>
    <row r="25" spans="1:5" x14ac:dyDescent="0.25">
      <c r="A25" s="56"/>
      <c r="B25" s="55"/>
      <c r="C25" s="55"/>
      <c r="D25" s="55"/>
      <c r="E25" s="57"/>
    </row>
    <row r="26" spans="1:5" x14ac:dyDescent="0.25">
      <c r="A26" s="61" t="s">
        <v>141</v>
      </c>
      <c r="B26" s="55" t="s">
        <v>99</v>
      </c>
      <c r="C26" s="55" t="s">
        <v>132</v>
      </c>
      <c r="D26" s="55" t="s">
        <v>139</v>
      </c>
      <c r="E26" s="57" t="s">
        <v>208</v>
      </c>
    </row>
    <row r="27" spans="1:5" x14ac:dyDescent="0.25">
      <c r="A27" s="61"/>
      <c r="B27" s="55"/>
      <c r="C27" s="55"/>
      <c r="D27" s="55"/>
      <c r="E27" s="57"/>
    </row>
    <row r="28" spans="1:5" x14ac:dyDescent="0.25">
      <c r="A28" s="56"/>
      <c r="B28" s="55" t="s">
        <v>124</v>
      </c>
      <c r="C28" s="55" t="s">
        <v>132</v>
      </c>
      <c r="D28" s="55" t="s">
        <v>139</v>
      </c>
      <c r="E28" s="57" t="s">
        <v>206</v>
      </c>
    </row>
    <row r="29" spans="1:5" x14ac:dyDescent="0.25">
      <c r="A29" s="58" t="s">
        <v>125</v>
      </c>
      <c r="B29" s="58" t="s">
        <v>126</v>
      </c>
      <c r="C29" s="58"/>
      <c r="D29" s="58" t="s">
        <v>127</v>
      </c>
      <c r="E29" s="60"/>
    </row>
    <row r="30" spans="1:5" x14ac:dyDescent="0.25">
      <c r="A30" s="61" t="s">
        <v>143</v>
      </c>
      <c r="B30" s="55" t="s">
        <v>54</v>
      </c>
      <c r="C30" s="55" t="s">
        <v>132</v>
      </c>
      <c r="D30" s="55" t="s">
        <v>144</v>
      </c>
      <c r="E30" s="57" t="s">
        <v>155</v>
      </c>
    </row>
    <row r="31" spans="1:5" x14ac:dyDescent="0.25">
      <c r="A31" s="55"/>
      <c r="B31" s="55" t="s">
        <v>22</v>
      </c>
      <c r="C31" s="55" t="s">
        <v>134</v>
      </c>
      <c r="D31" s="55" t="s">
        <v>144</v>
      </c>
      <c r="E31" s="57" t="s">
        <v>149</v>
      </c>
    </row>
    <row r="32" spans="1:5" x14ac:dyDescent="0.25">
      <c r="A32" s="55"/>
      <c r="B32" s="55"/>
      <c r="C32" s="55"/>
      <c r="D32" s="55"/>
      <c r="E32" s="57"/>
    </row>
    <row r="33" spans="1:5" x14ac:dyDescent="0.25">
      <c r="A33" s="58" t="s">
        <v>125</v>
      </c>
      <c r="B33" s="58" t="s">
        <v>126</v>
      </c>
      <c r="C33" s="58"/>
      <c r="D33" s="58" t="s">
        <v>127</v>
      </c>
      <c r="E33" s="60"/>
    </row>
    <row r="34" spans="1:5" x14ac:dyDescent="0.25">
      <c r="A34" s="54" t="s">
        <v>93</v>
      </c>
      <c r="B34" s="55" t="s">
        <v>43</v>
      </c>
      <c r="C34" s="55" t="s">
        <v>132</v>
      </c>
      <c r="D34" s="55" t="s">
        <v>152</v>
      </c>
      <c r="E34" s="57" t="s">
        <v>156</v>
      </c>
    </row>
    <row r="35" spans="1:5" x14ac:dyDescent="0.25">
      <c r="A35" s="55"/>
      <c r="B35" s="55" t="s">
        <v>63</v>
      </c>
      <c r="C35" s="55" t="s">
        <v>132</v>
      </c>
      <c r="D35" s="55" t="s">
        <v>152</v>
      </c>
      <c r="E35" s="57" t="s">
        <v>154</v>
      </c>
    </row>
    <row r="36" spans="1:5" x14ac:dyDescent="0.25">
      <c r="A36" s="54" t="s">
        <v>153</v>
      </c>
      <c r="B36" s="55" t="s">
        <v>60</v>
      </c>
      <c r="C36" s="55" t="s">
        <v>132</v>
      </c>
      <c r="D36" s="55" t="s">
        <v>152</v>
      </c>
      <c r="E36" s="57" t="s">
        <v>151</v>
      </c>
    </row>
    <row r="37" spans="1:5" x14ac:dyDescent="0.25">
      <c r="A37" s="55"/>
      <c r="B37" s="55"/>
      <c r="C37" s="55"/>
      <c r="D37" s="55"/>
      <c r="E37" s="55"/>
    </row>
    <row r="38" spans="1:5" x14ac:dyDescent="0.25">
      <c r="A38" s="58" t="s">
        <v>125</v>
      </c>
      <c r="B38" s="58" t="s">
        <v>126</v>
      </c>
      <c r="C38" s="58"/>
      <c r="D38" s="58" t="s">
        <v>127</v>
      </c>
      <c r="E38" s="60"/>
    </row>
    <row r="39" spans="1:5" x14ac:dyDescent="0.25">
      <c r="A39" s="54" t="s">
        <v>179</v>
      </c>
      <c r="B39" s="55" t="s">
        <v>61</v>
      </c>
      <c r="C39" s="55" t="s">
        <v>180</v>
      </c>
      <c r="D39" s="55" t="s">
        <v>181</v>
      </c>
      <c r="E39" s="57" t="s">
        <v>145</v>
      </c>
    </row>
    <row r="40" spans="1:5" x14ac:dyDescent="0.25">
      <c r="A40" s="55"/>
      <c r="B40" s="55"/>
      <c r="C40" s="55"/>
      <c r="D40" s="55"/>
      <c r="E40" s="55"/>
    </row>
    <row r="41" spans="1:5" x14ac:dyDescent="0.25">
      <c r="A41" s="58" t="s">
        <v>125</v>
      </c>
      <c r="B41" s="58" t="s">
        <v>126</v>
      </c>
      <c r="C41" s="58"/>
      <c r="D41" s="58" t="s">
        <v>127</v>
      </c>
      <c r="E41" s="60"/>
    </row>
    <row r="42" spans="1:5" x14ac:dyDescent="0.25">
      <c r="A42" s="54" t="s">
        <v>89</v>
      </c>
      <c r="B42" s="55" t="s">
        <v>14</v>
      </c>
      <c r="C42" s="55" t="s">
        <v>134</v>
      </c>
      <c r="D42" s="55" t="s">
        <v>188</v>
      </c>
      <c r="E42" s="57" t="s">
        <v>145</v>
      </c>
    </row>
    <row r="43" spans="1:5" x14ac:dyDescent="0.25">
      <c r="A43" s="55"/>
      <c r="B43" s="55"/>
      <c r="C43" s="55"/>
      <c r="D43" s="55"/>
      <c r="E43" s="55"/>
    </row>
    <row r="44" spans="1:5" x14ac:dyDescent="0.25">
      <c r="A44" s="58" t="s">
        <v>125</v>
      </c>
      <c r="B44" s="58" t="s">
        <v>126</v>
      </c>
      <c r="C44" s="58"/>
      <c r="D44" s="58" t="s">
        <v>127</v>
      </c>
      <c r="E44" s="60"/>
    </row>
    <row r="45" spans="1:5" x14ac:dyDescent="0.25">
      <c r="A45" s="54" t="s">
        <v>80</v>
      </c>
      <c r="B45" s="55" t="s">
        <v>47</v>
      </c>
      <c r="C45" s="55" t="s">
        <v>132</v>
      </c>
      <c r="D45" s="55" t="s">
        <v>80</v>
      </c>
      <c r="E45" s="57" t="s">
        <v>145</v>
      </c>
    </row>
    <row r="46" spans="1:5" x14ac:dyDescent="0.25">
      <c r="A46" s="55"/>
      <c r="B46" s="55"/>
      <c r="C46" s="55"/>
      <c r="D46" s="55"/>
      <c r="E46" s="55"/>
    </row>
    <row r="47" spans="1:5" x14ac:dyDescent="0.25">
      <c r="A47" s="58" t="s">
        <v>125</v>
      </c>
      <c r="B47" s="58" t="s">
        <v>126</v>
      </c>
      <c r="C47" s="58"/>
      <c r="D47" s="58" t="s">
        <v>127</v>
      </c>
      <c r="E47" s="60"/>
    </row>
    <row r="48" spans="1:5" x14ac:dyDescent="0.25">
      <c r="A48" s="54" t="s">
        <v>189</v>
      </c>
      <c r="B48" s="55" t="s">
        <v>48</v>
      </c>
      <c r="C48" s="55" t="s">
        <v>132</v>
      </c>
      <c r="D48" s="55" t="s">
        <v>190</v>
      </c>
      <c r="E48" s="57" t="s">
        <v>145</v>
      </c>
    </row>
    <row r="49" spans="1:5" x14ac:dyDescent="0.25">
      <c r="A49" s="55"/>
      <c r="B49" s="55"/>
      <c r="C49" s="55"/>
      <c r="D49" s="55"/>
      <c r="E49" s="55"/>
    </row>
    <row r="50" spans="1:5" x14ac:dyDescent="0.25">
      <c r="A50" s="55"/>
      <c r="B50" s="55"/>
      <c r="C50" s="55"/>
      <c r="D50" s="55"/>
      <c r="E50" s="55"/>
    </row>
    <row r="51" spans="1:5" x14ac:dyDescent="0.25">
      <c r="A51" s="55"/>
      <c r="B51" s="55"/>
      <c r="C51" s="55"/>
      <c r="D51" s="55"/>
      <c r="E51" s="55"/>
    </row>
    <row r="52" spans="1:5" x14ac:dyDescent="0.25">
      <c r="A52" s="55"/>
      <c r="B52" s="55"/>
      <c r="C52" s="55"/>
      <c r="D52" s="55"/>
      <c r="E52" s="55"/>
    </row>
    <row r="53" spans="1:5" x14ac:dyDescent="0.25">
      <c r="A53" s="55"/>
      <c r="B53" s="55"/>
      <c r="C53" s="55"/>
      <c r="D53" s="55"/>
      <c r="E53" s="55"/>
    </row>
    <row r="54" spans="1:5" x14ac:dyDescent="0.25">
      <c r="A54" s="55"/>
      <c r="B54" s="55"/>
      <c r="C54" s="55"/>
      <c r="D54" s="55"/>
      <c r="E54" s="55"/>
    </row>
    <row r="55" spans="1:5" x14ac:dyDescent="0.25">
      <c r="A55" s="55"/>
      <c r="B55" s="55"/>
      <c r="C55" s="55"/>
      <c r="D55" s="55"/>
      <c r="E55" s="55"/>
    </row>
    <row r="56" spans="1:5" x14ac:dyDescent="0.25">
      <c r="A56" s="55"/>
      <c r="B56" s="55"/>
      <c r="C56" s="55"/>
      <c r="D56" s="55"/>
      <c r="E56" s="55"/>
    </row>
    <row r="57" spans="1:5" x14ac:dyDescent="0.25">
      <c r="A57" s="55"/>
      <c r="B57" s="55"/>
      <c r="C57" s="55"/>
      <c r="D57" s="55"/>
      <c r="E57" s="55"/>
    </row>
    <row r="58" spans="1:5" x14ac:dyDescent="0.25">
      <c r="A58" s="55"/>
      <c r="B58" s="55"/>
      <c r="C58" s="55"/>
      <c r="D58" s="55"/>
      <c r="E58" s="55"/>
    </row>
    <row r="59" spans="1:5" x14ac:dyDescent="0.25">
      <c r="A59" s="55"/>
      <c r="B59" s="55"/>
      <c r="C59" s="55"/>
      <c r="D59" s="55"/>
      <c r="E59" s="55"/>
    </row>
    <row r="60" spans="1:5" x14ac:dyDescent="0.25">
      <c r="A60" s="55"/>
      <c r="B60" s="55"/>
      <c r="C60" s="55"/>
      <c r="D60" s="55"/>
      <c r="E60" s="55"/>
    </row>
    <row r="61" spans="1:5" x14ac:dyDescent="0.25">
      <c r="A61" s="55"/>
      <c r="B61" s="55"/>
      <c r="C61" s="55"/>
      <c r="D61" s="55"/>
      <c r="E61" s="55"/>
    </row>
    <row r="62" spans="1:5" x14ac:dyDescent="0.25">
      <c r="A62" s="55"/>
      <c r="B62" s="55"/>
      <c r="C62" s="55"/>
      <c r="D62" s="55"/>
      <c r="E62" s="55"/>
    </row>
    <row r="63" spans="1:5" x14ac:dyDescent="0.25">
      <c r="A63" s="55"/>
      <c r="B63" s="55"/>
      <c r="C63" s="55"/>
      <c r="D63" s="55"/>
      <c r="E63" s="55"/>
    </row>
    <row r="64" spans="1:5" x14ac:dyDescent="0.25">
      <c r="A64" s="55"/>
      <c r="B64" s="55"/>
      <c r="C64" s="55"/>
      <c r="D64" s="55"/>
      <c r="E64" s="55"/>
    </row>
    <row r="65" spans="1:5" x14ac:dyDescent="0.25">
      <c r="A65" s="55"/>
      <c r="B65" s="55"/>
      <c r="C65" s="55"/>
      <c r="D65" s="55"/>
      <c r="E65" s="55"/>
    </row>
    <row r="66" spans="1:5" x14ac:dyDescent="0.25">
      <c r="A66" s="55"/>
      <c r="B66" s="55"/>
      <c r="C66" s="55"/>
      <c r="D66" s="55"/>
      <c r="E66" s="55"/>
    </row>
    <row r="67" spans="1:5" x14ac:dyDescent="0.25">
      <c r="A67" s="55"/>
      <c r="B67" s="55"/>
      <c r="C67" s="55"/>
      <c r="D67" s="55"/>
      <c r="E67" s="55"/>
    </row>
    <row r="68" spans="1:5" x14ac:dyDescent="0.25">
      <c r="A68" s="55"/>
      <c r="B68" s="55"/>
      <c r="C68" s="55"/>
      <c r="D68" s="55"/>
      <c r="E68" s="55"/>
    </row>
    <row r="69" spans="1:5" x14ac:dyDescent="0.25">
      <c r="A69" s="55"/>
      <c r="B69" s="55"/>
      <c r="C69" s="55"/>
      <c r="D69" s="55"/>
      <c r="E69" s="55"/>
    </row>
    <row r="70" spans="1:5" x14ac:dyDescent="0.25">
      <c r="A70" s="55"/>
      <c r="B70" s="55"/>
      <c r="C70" s="55"/>
      <c r="D70" s="55"/>
      <c r="E70" s="55"/>
    </row>
    <row r="71" spans="1:5" x14ac:dyDescent="0.25">
      <c r="A71" s="55"/>
      <c r="B71" s="55"/>
      <c r="C71" s="55"/>
      <c r="D71" s="55"/>
      <c r="E71" s="55"/>
    </row>
    <row r="72" spans="1:5" x14ac:dyDescent="0.25">
      <c r="A72" s="55"/>
      <c r="B72" s="55"/>
      <c r="C72" s="55"/>
      <c r="D72" s="55"/>
      <c r="E72" s="55"/>
    </row>
    <row r="73" spans="1:5" x14ac:dyDescent="0.25">
      <c r="A73" s="55"/>
      <c r="B73" s="55"/>
      <c r="C73" s="55"/>
      <c r="D73" s="55"/>
      <c r="E73" s="55"/>
    </row>
    <row r="74" spans="1:5" x14ac:dyDescent="0.25">
      <c r="A74" s="55"/>
      <c r="B74" s="55"/>
      <c r="C74" s="55"/>
      <c r="D74" s="55"/>
      <c r="E74" s="55"/>
    </row>
    <row r="75" spans="1:5" x14ac:dyDescent="0.25">
      <c r="A75" s="55"/>
      <c r="B75" s="55"/>
      <c r="C75" s="55"/>
      <c r="D75" s="55"/>
      <c r="E75" s="55"/>
    </row>
    <row r="76" spans="1:5" x14ac:dyDescent="0.25">
      <c r="A76" s="55"/>
      <c r="B76" s="55"/>
      <c r="C76" s="55"/>
      <c r="D76" s="55"/>
      <c r="E76" s="55"/>
    </row>
    <row r="77" spans="1:5" x14ac:dyDescent="0.25">
      <c r="A77" s="55"/>
      <c r="B77" s="55"/>
      <c r="C77" s="55"/>
      <c r="D77" s="55"/>
      <c r="E77" s="55"/>
    </row>
    <row r="78" spans="1:5" x14ac:dyDescent="0.25">
      <c r="A78" s="55"/>
      <c r="B78" s="55"/>
      <c r="C78" s="55"/>
      <c r="D78" s="55"/>
      <c r="E78" s="55"/>
    </row>
    <row r="79" spans="1:5" x14ac:dyDescent="0.25">
      <c r="A79" s="55"/>
      <c r="B79" s="55"/>
      <c r="C79" s="55"/>
      <c r="D79" s="55"/>
      <c r="E79" s="55"/>
    </row>
    <row r="80" spans="1:5" x14ac:dyDescent="0.25">
      <c r="A80" s="55"/>
      <c r="B80" s="55"/>
      <c r="C80" s="55"/>
      <c r="D80" s="55"/>
      <c r="E80" s="55"/>
    </row>
    <row r="81" spans="1:5" x14ac:dyDescent="0.25">
      <c r="A81" s="55"/>
      <c r="B81" s="55"/>
      <c r="C81" s="55"/>
      <c r="D81" s="55"/>
      <c r="E81" s="55"/>
    </row>
    <row r="82" spans="1:5" x14ac:dyDescent="0.25">
      <c r="A82" s="55"/>
      <c r="B82" s="55"/>
      <c r="C82" s="55"/>
      <c r="D82" s="55"/>
      <c r="E82" s="55"/>
    </row>
    <row r="83" spans="1:5" x14ac:dyDescent="0.25">
      <c r="A83" s="55"/>
      <c r="B83" s="55"/>
      <c r="C83" s="55"/>
      <c r="D83" s="55"/>
      <c r="E83" s="55"/>
    </row>
    <row r="84" spans="1:5" x14ac:dyDescent="0.25">
      <c r="A84" s="55"/>
      <c r="B84" s="55"/>
      <c r="C84" s="55"/>
      <c r="D84" s="55"/>
      <c r="E84" s="55"/>
    </row>
    <row r="85" spans="1:5" x14ac:dyDescent="0.25">
      <c r="A85" s="55"/>
      <c r="B85" s="55"/>
      <c r="C85" s="55"/>
      <c r="D85" s="55"/>
      <c r="E85" s="55"/>
    </row>
    <row r="86" spans="1:5" x14ac:dyDescent="0.25">
      <c r="A86" s="55"/>
      <c r="B86" s="55"/>
      <c r="C86" s="55"/>
      <c r="D86" s="55"/>
      <c r="E86" s="55"/>
    </row>
    <row r="87" spans="1:5" x14ac:dyDescent="0.25">
      <c r="A87" s="55"/>
      <c r="B87" s="55"/>
      <c r="C87" s="55"/>
      <c r="D87" s="55"/>
      <c r="E87" s="55"/>
    </row>
    <row r="88" spans="1:5" x14ac:dyDescent="0.25">
      <c r="A88" s="55"/>
      <c r="B88" s="55"/>
      <c r="C88" s="55"/>
      <c r="D88" s="55"/>
      <c r="E88" s="55"/>
    </row>
    <row r="89" spans="1:5" x14ac:dyDescent="0.25">
      <c r="A89" s="55"/>
      <c r="B89" s="55"/>
      <c r="C89" s="55"/>
      <c r="D89" s="55"/>
      <c r="E89" s="55"/>
    </row>
    <row r="90" spans="1:5" x14ac:dyDescent="0.25">
      <c r="A90" s="55"/>
      <c r="B90" s="55"/>
      <c r="C90" s="55"/>
      <c r="D90" s="55"/>
      <c r="E90" s="55"/>
    </row>
    <row r="91" spans="1:5" x14ac:dyDescent="0.25">
      <c r="A91" s="55"/>
      <c r="B91" s="55"/>
      <c r="C91" s="55"/>
      <c r="D91" s="55"/>
      <c r="E91" s="55"/>
    </row>
    <row r="92" spans="1:5" x14ac:dyDescent="0.25">
      <c r="A92" s="55"/>
      <c r="B92" s="55"/>
      <c r="C92" s="55"/>
      <c r="D92" s="55"/>
      <c r="E92" s="55"/>
    </row>
    <row r="93" spans="1:5" x14ac:dyDescent="0.25">
      <c r="A93" s="55"/>
      <c r="B93" s="55"/>
      <c r="C93" s="55"/>
      <c r="D93" s="55"/>
      <c r="E93" s="55"/>
    </row>
    <row r="94" spans="1:5" x14ac:dyDescent="0.25">
      <c r="A94" s="55"/>
      <c r="B94" s="55"/>
      <c r="C94" s="55"/>
      <c r="D94" s="55"/>
      <c r="E94" s="55"/>
    </row>
    <row r="95" spans="1:5" x14ac:dyDescent="0.25">
      <c r="A95" s="55"/>
      <c r="B95" s="55"/>
      <c r="C95" s="55"/>
      <c r="D95" s="55"/>
      <c r="E95" s="55"/>
    </row>
    <row r="96" spans="1:5" x14ac:dyDescent="0.25">
      <c r="A96" s="55"/>
      <c r="B96" s="55"/>
      <c r="C96" s="55"/>
      <c r="D96" s="55"/>
      <c r="E96" s="55"/>
    </row>
    <row r="97" spans="1:5" x14ac:dyDescent="0.25">
      <c r="A97" s="55"/>
      <c r="B97" s="55"/>
      <c r="C97" s="55"/>
      <c r="D97" s="55"/>
      <c r="E97" s="55"/>
    </row>
    <row r="98" spans="1:5" x14ac:dyDescent="0.25">
      <c r="A98" s="55"/>
      <c r="B98" s="55"/>
      <c r="C98" s="55"/>
      <c r="D98" s="55"/>
      <c r="E98" s="55"/>
    </row>
    <row r="99" spans="1:5" x14ac:dyDescent="0.25">
      <c r="A99" s="55"/>
      <c r="B99" s="55"/>
      <c r="C99" s="55"/>
      <c r="D99" s="55"/>
      <c r="E99" s="55"/>
    </row>
    <row r="100" spans="1:5" x14ac:dyDescent="0.25">
      <c r="A100" s="55"/>
      <c r="B100" s="55"/>
      <c r="C100" s="55"/>
      <c r="D100" s="55"/>
      <c r="E100" s="55"/>
    </row>
    <row r="101" spans="1:5" x14ac:dyDescent="0.25">
      <c r="A101" s="55"/>
      <c r="B101" s="55"/>
      <c r="C101" s="55"/>
      <c r="D101" s="55"/>
      <c r="E101" s="55"/>
    </row>
    <row r="102" spans="1:5" x14ac:dyDescent="0.25">
      <c r="A102" s="55"/>
      <c r="B102" s="55"/>
      <c r="C102" s="55"/>
      <c r="D102" s="55"/>
      <c r="E102" s="55"/>
    </row>
    <row r="103" spans="1:5" x14ac:dyDescent="0.25">
      <c r="A103" s="55"/>
      <c r="B103" s="55"/>
      <c r="C103" s="55"/>
      <c r="D103" s="55"/>
      <c r="E103" s="55"/>
    </row>
    <row r="104" spans="1:5" x14ac:dyDescent="0.25">
      <c r="A104" s="55"/>
      <c r="B104" s="55"/>
      <c r="C104" s="55"/>
      <c r="D104" s="55"/>
      <c r="E104" s="55"/>
    </row>
    <row r="105" spans="1:5" x14ac:dyDescent="0.25">
      <c r="A105" s="55"/>
      <c r="B105" s="55"/>
      <c r="C105" s="55"/>
      <c r="D105" s="55"/>
      <c r="E105" s="55"/>
    </row>
    <row r="106" spans="1:5" x14ac:dyDescent="0.25">
      <c r="A106" s="55"/>
      <c r="B106" s="55"/>
      <c r="C106" s="55"/>
      <c r="D106" s="55"/>
      <c r="E106" s="55"/>
    </row>
    <row r="107" spans="1:5" x14ac:dyDescent="0.25">
      <c r="A107" s="55"/>
      <c r="B107" s="55"/>
      <c r="C107" s="55"/>
      <c r="D107" s="55"/>
      <c r="E107" s="55"/>
    </row>
  </sheetData>
  <mergeCells count="1">
    <mergeCell ref="B1:E1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42"/>
  <sheetViews>
    <sheetView topLeftCell="A28" workbookViewId="0">
      <selection activeCell="A3" sqref="A3"/>
    </sheetView>
  </sheetViews>
  <sheetFormatPr defaultRowHeight="15" x14ac:dyDescent="0.25"/>
  <cols>
    <col min="1" max="1" width="22.85546875" customWidth="1"/>
    <col min="2" max="2" width="17.85546875" customWidth="1"/>
    <col min="3" max="3" width="32.140625" bestFit="1" customWidth="1"/>
    <col min="4" max="4" width="19" customWidth="1"/>
    <col min="5" max="5" width="134.42578125" bestFit="1" customWidth="1"/>
  </cols>
  <sheetData>
    <row r="1" spans="1:5" ht="26.25" x14ac:dyDescent="0.4">
      <c r="B1" s="121" t="s">
        <v>199</v>
      </c>
      <c r="C1" s="121"/>
      <c r="D1" s="121"/>
      <c r="E1" s="121"/>
    </row>
    <row r="2" spans="1:5" x14ac:dyDescent="0.25">
      <c r="A2" s="58" t="s">
        <v>125</v>
      </c>
      <c r="B2" s="58" t="s">
        <v>126</v>
      </c>
      <c r="C2" s="58" t="s">
        <v>131</v>
      </c>
      <c r="D2" s="58" t="s">
        <v>127</v>
      </c>
      <c r="E2" s="59" t="s">
        <v>128</v>
      </c>
    </row>
    <row r="3" spans="1:5" x14ac:dyDescent="0.25">
      <c r="A3" s="54" t="s">
        <v>123</v>
      </c>
      <c r="B3" s="55" t="s">
        <v>33</v>
      </c>
      <c r="C3" s="55" t="s">
        <v>161</v>
      </c>
      <c r="D3" s="55" t="s">
        <v>159</v>
      </c>
      <c r="E3" s="57" t="s">
        <v>162</v>
      </c>
    </row>
    <row r="4" spans="1:5" x14ac:dyDescent="0.25">
      <c r="A4" s="55"/>
      <c r="B4" s="55" t="s">
        <v>51</v>
      </c>
      <c r="C4" s="55" t="s">
        <v>132</v>
      </c>
      <c r="D4" s="55" t="s">
        <v>159</v>
      </c>
      <c r="E4" s="57" t="s">
        <v>145</v>
      </c>
    </row>
    <row r="5" spans="1:5" x14ac:dyDescent="0.25">
      <c r="A5" s="55"/>
      <c r="B5" s="55"/>
      <c r="C5" s="55"/>
      <c r="D5" s="55"/>
      <c r="E5" s="57"/>
    </row>
    <row r="6" spans="1:5" x14ac:dyDescent="0.25">
      <c r="A6" s="58" t="s">
        <v>125</v>
      </c>
      <c r="B6" s="58" t="s">
        <v>126</v>
      </c>
      <c r="C6" s="58" t="s">
        <v>131</v>
      </c>
      <c r="D6" s="58" t="s">
        <v>127</v>
      </c>
      <c r="E6" s="59" t="s">
        <v>128</v>
      </c>
    </row>
    <row r="7" spans="1:5" x14ac:dyDescent="0.25">
      <c r="A7" s="54" t="s">
        <v>174</v>
      </c>
      <c r="B7" s="55" t="s">
        <v>39</v>
      </c>
      <c r="C7" s="55" t="s">
        <v>132</v>
      </c>
      <c r="D7" s="55" t="s">
        <v>177</v>
      </c>
      <c r="E7" s="57" t="s">
        <v>162</v>
      </c>
    </row>
    <row r="8" spans="1:5" x14ac:dyDescent="0.25">
      <c r="A8" s="55"/>
      <c r="B8" s="55" t="s">
        <v>50</v>
      </c>
      <c r="C8" s="55" t="s">
        <v>175</v>
      </c>
      <c r="D8" s="55" t="s">
        <v>177</v>
      </c>
      <c r="E8" s="57" t="s">
        <v>145</v>
      </c>
    </row>
    <row r="9" spans="1:5" x14ac:dyDescent="0.25">
      <c r="A9" s="55"/>
      <c r="B9" s="55" t="s">
        <v>57</v>
      </c>
      <c r="C9" s="55" t="s">
        <v>176</v>
      </c>
      <c r="D9" s="55" t="s">
        <v>177</v>
      </c>
      <c r="E9" s="57" t="s">
        <v>178</v>
      </c>
    </row>
    <row r="10" spans="1:5" x14ac:dyDescent="0.25">
      <c r="A10" s="55"/>
      <c r="B10" s="55"/>
      <c r="C10" s="55"/>
      <c r="D10" s="55"/>
      <c r="E10" s="57"/>
    </row>
    <row r="11" spans="1:5" x14ac:dyDescent="0.25">
      <c r="A11" s="58" t="s">
        <v>126</v>
      </c>
      <c r="B11" s="58" t="s">
        <v>126</v>
      </c>
      <c r="C11" s="58" t="s">
        <v>131</v>
      </c>
      <c r="D11" s="58" t="s">
        <v>127</v>
      </c>
      <c r="E11" s="59" t="s">
        <v>128</v>
      </c>
    </row>
    <row r="12" spans="1:5" x14ac:dyDescent="0.25">
      <c r="A12" s="54" t="s">
        <v>85</v>
      </c>
      <c r="B12" s="55" t="s">
        <v>32</v>
      </c>
      <c r="C12" s="55" t="s">
        <v>161</v>
      </c>
      <c r="D12" s="55" t="s">
        <v>186</v>
      </c>
      <c r="E12" s="57" t="s">
        <v>197</v>
      </c>
    </row>
    <row r="13" spans="1:5" x14ac:dyDescent="0.25">
      <c r="A13" s="55"/>
      <c r="B13" s="55" t="s">
        <v>12</v>
      </c>
      <c r="C13" s="55" t="s">
        <v>134</v>
      </c>
      <c r="D13" s="55" t="s">
        <v>186</v>
      </c>
      <c r="E13" s="57" t="s">
        <v>209</v>
      </c>
    </row>
    <row r="14" spans="1:5" x14ac:dyDescent="0.25">
      <c r="A14" s="55"/>
      <c r="B14" s="55" t="s">
        <v>21</v>
      </c>
      <c r="C14" s="55" t="s">
        <v>182</v>
      </c>
      <c r="D14" s="55" t="s">
        <v>186</v>
      </c>
      <c r="E14" s="57" t="s">
        <v>198</v>
      </c>
    </row>
    <row r="15" spans="1:5" x14ac:dyDescent="0.25">
      <c r="A15" s="55"/>
      <c r="B15" s="55" t="s">
        <v>46</v>
      </c>
      <c r="C15" s="55" t="s">
        <v>132</v>
      </c>
      <c r="D15" s="55" t="s">
        <v>186</v>
      </c>
      <c r="E15" s="57" t="s">
        <v>145</v>
      </c>
    </row>
    <row r="16" spans="1:5" x14ac:dyDescent="0.25">
      <c r="A16" s="55"/>
      <c r="B16" s="55" t="s">
        <v>52</v>
      </c>
      <c r="C16" s="55" t="s">
        <v>175</v>
      </c>
      <c r="D16" s="55" t="s">
        <v>186</v>
      </c>
      <c r="E16" s="57" t="s">
        <v>145</v>
      </c>
    </row>
    <row r="17" spans="1:5" x14ac:dyDescent="0.25">
      <c r="A17" s="55"/>
      <c r="B17" s="55" t="s">
        <v>55</v>
      </c>
      <c r="C17" s="55" t="s">
        <v>176</v>
      </c>
      <c r="D17" s="55" t="s">
        <v>186</v>
      </c>
      <c r="E17" s="57" t="s">
        <v>145</v>
      </c>
    </row>
    <row r="18" spans="1:5" x14ac:dyDescent="0.25">
      <c r="A18" s="55"/>
      <c r="B18" s="55"/>
      <c r="C18" s="55"/>
      <c r="D18" s="55"/>
      <c r="E18" s="57"/>
    </row>
    <row r="19" spans="1:5" x14ac:dyDescent="0.25">
      <c r="A19" s="58" t="s">
        <v>126</v>
      </c>
      <c r="B19" s="58" t="s">
        <v>126</v>
      </c>
      <c r="C19" s="58" t="s">
        <v>131</v>
      </c>
      <c r="D19" s="58" t="s">
        <v>127</v>
      </c>
      <c r="E19" s="59" t="s">
        <v>128</v>
      </c>
    </row>
    <row r="20" spans="1:5" x14ac:dyDescent="0.25">
      <c r="A20" s="54" t="s">
        <v>87</v>
      </c>
      <c r="B20" s="55" t="s">
        <v>75</v>
      </c>
      <c r="C20" s="55" t="s">
        <v>184</v>
      </c>
      <c r="D20" s="55" t="s">
        <v>187</v>
      </c>
      <c r="E20" s="57" t="s">
        <v>210</v>
      </c>
    </row>
    <row r="21" spans="1:5" x14ac:dyDescent="0.25">
      <c r="A21" s="55"/>
      <c r="B21" s="55" t="s">
        <v>101</v>
      </c>
      <c r="C21" s="55" t="s">
        <v>185</v>
      </c>
      <c r="D21" s="55" t="s">
        <v>187</v>
      </c>
      <c r="E21" s="57" t="s">
        <v>211</v>
      </c>
    </row>
    <row r="22" spans="1:5" x14ac:dyDescent="0.25">
      <c r="A22" s="55"/>
      <c r="B22" s="55"/>
      <c r="C22" s="55"/>
      <c r="D22" s="55"/>
      <c r="E22" s="57"/>
    </row>
    <row r="23" spans="1:5" x14ac:dyDescent="0.25">
      <c r="A23" s="58" t="s">
        <v>126</v>
      </c>
      <c r="B23" s="58" t="s">
        <v>126</v>
      </c>
      <c r="C23" s="58" t="s">
        <v>131</v>
      </c>
      <c r="D23" s="58" t="s">
        <v>127</v>
      </c>
      <c r="E23" s="59" t="s">
        <v>128</v>
      </c>
    </row>
    <row r="24" spans="1:5" x14ac:dyDescent="0.25">
      <c r="A24" s="54" t="s">
        <v>191</v>
      </c>
      <c r="B24" s="55" t="s">
        <v>13</v>
      </c>
      <c r="C24" s="55" t="s">
        <v>134</v>
      </c>
      <c r="D24" s="55" t="s">
        <v>193</v>
      </c>
      <c r="E24" s="57" t="s">
        <v>162</v>
      </c>
    </row>
    <row r="25" spans="1:5" x14ac:dyDescent="0.25">
      <c r="A25" s="55"/>
      <c r="B25" s="55"/>
      <c r="C25" s="55"/>
      <c r="D25" s="55"/>
      <c r="E25" s="57"/>
    </row>
    <row r="26" spans="1:5" x14ac:dyDescent="0.25">
      <c r="A26" s="54" t="s">
        <v>194</v>
      </c>
      <c r="B26" s="55" t="s">
        <v>192</v>
      </c>
      <c r="C26" s="55" t="s">
        <v>195</v>
      </c>
      <c r="D26" s="55" t="s">
        <v>196</v>
      </c>
      <c r="E26" s="57" t="s">
        <v>162</v>
      </c>
    </row>
    <row r="27" spans="1:5" x14ac:dyDescent="0.25">
      <c r="A27" s="55"/>
      <c r="B27" s="55"/>
      <c r="C27" s="55"/>
      <c r="D27" s="55"/>
      <c r="E27" s="57"/>
    </row>
    <row r="28" spans="1:5" x14ac:dyDescent="0.25">
      <c r="A28" s="58" t="s">
        <v>125</v>
      </c>
      <c r="B28" s="58" t="s">
        <v>126</v>
      </c>
      <c r="C28" s="58" t="s">
        <v>131</v>
      </c>
      <c r="D28" s="58" t="s">
        <v>127</v>
      </c>
      <c r="E28" s="59" t="s">
        <v>128</v>
      </c>
    </row>
    <row r="29" spans="1:5" x14ac:dyDescent="0.25">
      <c r="A29" s="54" t="s">
        <v>163</v>
      </c>
      <c r="B29" s="55" t="s">
        <v>17</v>
      </c>
      <c r="C29" s="55" t="s">
        <v>134</v>
      </c>
      <c r="D29" s="55" t="s">
        <v>171</v>
      </c>
      <c r="E29" s="57" t="s">
        <v>165</v>
      </c>
    </row>
    <row r="30" spans="1:5" x14ac:dyDescent="0.25">
      <c r="A30" s="54"/>
      <c r="B30" s="55" t="s">
        <v>37</v>
      </c>
      <c r="C30" s="55" t="s">
        <v>132</v>
      </c>
      <c r="D30" s="55" t="s">
        <v>171</v>
      </c>
      <c r="E30" s="57" t="s">
        <v>162</v>
      </c>
    </row>
    <row r="31" spans="1:5" x14ac:dyDescent="0.25">
      <c r="A31" s="54"/>
      <c r="B31" s="55" t="s">
        <v>65</v>
      </c>
      <c r="C31" s="55" t="s">
        <v>164</v>
      </c>
      <c r="D31" s="55" t="s">
        <v>171</v>
      </c>
      <c r="E31" s="57" t="s">
        <v>145</v>
      </c>
    </row>
    <row r="32" spans="1:5" x14ac:dyDescent="0.25">
      <c r="B32" s="62" t="s">
        <v>18</v>
      </c>
      <c r="C32" s="55" t="s">
        <v>138</v>
      </c>
      <c r="D32" s="55" t="s">
        <v>171</v>
      </c>
      <c r="E32" s="63" t="s">
        <v>172</v>
      </c>
    </row>
    <row r="33" spans="1:5" x14ac:dyDescent="0.25">
      <c r="A33" s="58" t="s">
        <v>125</v>
      </c>
      <c r="B33" s="58" t="s">
        <v>126</v>
      </c>
      <c r="C33" s="58"/>
      <c r="D33" s="58" t="s">
        <v>127</v>
      </c>
      <c r="E33" s="60"/>
    </row>
    <row r="34" spans="1:5" x14ac:dyDescent="0.25">
      <c r="A34" s="54" t="s">
        <v>84</v>
      </c>
      <c r="B34" s="55" t="s">
        <v>167</v>
      </c>
      <c r="C34" s="55" t="s">
        <v>134</v>
      </c>
      <c r="D34" s="55" t="s">
        <v>166</v>
      </c>
      <c r="E34" s="57" t="s">
        <v>137</v>
      </c>
    </row>
    <row r="35" spans="1:5" x14ac:dyDescent="0.25">
      <c r="A35" s="56"/>
      <c r="B35" s="55" t="s">
        <v>19</v>
      </c>
      <c r="C35" s="55" t="s">
        <v>138</v>
      </c>
      <c r="D35" s="55" t="s">
        <v>166</v>
      </c>
      <c r="E35" s="57" t="s">
        <v>137</v>
      </c>
    </row>
    <row r="36" spans="1:5" x14ac:dyDescent="0.25">
      <c r="A36" s="56"/>
      <c r="B36" s="55" t="s">
        <v>53</v>
      </c>
      <c r="C36" s="55" t="s">
        <v>132</v>
      </c>
      <c r="D36" s="55" t="s">
        <v>166</v>
      </c>
      <c r="E36" s="57" t="s">
        <v>145</v>
      </c>
    </row>
    <row r="37" spans="1:5" x14ac:dyDescent="0.25">
      <c r="A37" s="55"/>
      <c r="B37" s="55" t="s">
        <v>59</v>
      </c>
      <c r="C37" s="55" t="s">
        <v>164</v>
      </c>
      <c r="D37" s="55" t="s">
        <v>166</v>
      </c>
      <c r="E37" s="57" t="s">
        <v>145</v>
      </c>
    </row>
    <row r="38" spans="1:5" x14ac:dyDescent="0.25">
      <c r="A38" s="58" t="s">
        <v>125</v>
      </c>
      <c r="B38" s="58" t="s">
        <v>126</v>
      </c>
      <c r="C38" s="58"/>
      <c r="D38" s="58" t="s">
        <v>127</v>
      </c>
      <c r="E38" s="60"/>
    </row>
    <row r="39" spans="1:5" x14ac:dyDescent="0.25">
      <c r="A39" s="54" t="s">
        <v>168</v>
      </c>
      <c r="B39" s="55" t="s">
        <v>10</v>
      </c>
      <c r="C39" s="55" t="s">
        <v>134</v>
      </c>
      <c r="D39" s="55" t="s">
        <v>169</v>
      </c>
      <c r="E39" s="57" t="s">
        <v>173</v>
      </c>
    </row>
    <row r="40" spans="1:5" x14ac:dyDescent="0.25">
      <c r="A40" s="56"/>
      <c r="B40" s="55" t="s">
        <v>58</v>
      </c>
      <c r="C40" s="55" t="s">
        <v>170</v>
      </c>
      <c r="D40" s="55" t="s">
        <v>169</v>
      </c>
      <c r="E40" s="57" t="s">
        <v>145</v>
      </c>
    </row>
    <row r="41" spans="1:5" x14ac:dyDescent="0.25">
      <c r="A41" s="61"/>
      <c r="B41" s="55"/>
      <c r="C41" s="55"/>
      <c r="D41" s="55"/>
      <c r="E41" s="57"/>
    </row>
    <row r="42" spans="1:5" x14ac:dyDescent="0.25">
      <c r="A42" s="56"/>
      <c r="B42" s="55"/>
      <c r="C42" s="55"/>
      <c r="D42" s="55"/>
      <c r="E42" s="57"/>
    </row>
  </sheetData>
  <mergeCells count="1">
    <mergeCell ref="B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13 Feb 26</vt:lpstr>
      <vt:lpstr>16 Feb 2026</vt:lpstr>
      <vt:lpstr>17 Feb 2026</vt:lpstr>
      <vt:lpstr>18 Feb 2026</vt:lpstr>
      <vt:lpstr>19 Feb 2026</vt:lpstr>
      <vt:lpstr>23 Feb 2026</vt:lpstr>
      <vt:lpstr>MINING</vt:lpstr>
      <vt:lpstr>ENGINEERING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Jacques Breet</dc:creator>
  <cp:lastModifiedBy>Tshepo Getlo</cp:lastModifiedBy>
  <cp:lastPrinted>2025-09-14T04:54:16Z</cp:lastPrinted>
  <dcterms:created xsi:type="dcterms:W3CDTF">2020-01-17T12:36:29Z</dcterms:created>
  <dcterms:modified xsi:type="dcterms:W3CDTF">2026-02-23T12:40:25Z</dcterms:modified>
</cp:coreProperties>
</file>