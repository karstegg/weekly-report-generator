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gregory_karsten_assmang_co_za1/Documents/Senior Production Engineer (Acting - January 2025)/Weekly Reports/Week 36/Utility Section Performance/"/>
    </mc:Choice>
  </mc:AlternateContent>
  <xr:revisionPtr revIDLastSave="0" documentId="8_{CC89D93B-B6C8-4C43-8F32-221C4CB2B694}" xr6:coauthVersionLast="47" xr6:coauthVersionMax="47" xr10:uidLastSave="{00000000-0000-0000-0000-000000000000}"/>
  <bookViews>
    <workbookView xWindow="-120" yWindow="-120" windowWidth="29040" windowHeight="15720" firstSheet="7" activeTab="14" xr2:uid="{00000000-000D-0000-FFFF-FFFF00000000}"/>
  </bookViews>
  <sheets>
    <sheet name="13 Feb 26" sheetId="66" r:id="rId1"/>
    <sheet name="16 Feb 2026" sheetId="69" r:id="rId2"/>
    <sheet name="17 Feb 2026" sheetId="70" r:id="rId3"/>
    <sheet name="18 Feb 2026" sheetId="71" r:id="rId4"/>
    <sheet name="19 Feb 2026" sheetId="72" r:id="rId5"/>
    <sheet name="23 Feb 2026" sheetId="73" r:id="rId6"/>
    <sheet name="24 Feb 2026" sheetId="74" r:id="rId7"/>
    <sheet name="25 Feb 2026" sheetId="75" r:id="rId8"/>
    <sheet name="26 Feb 2026" sheetId="76" r:id="rId9"/>
    <sheet name="27 Feb 2026" sheetId="77" r:id="rId10"/>
    <sheet name="02 March 2026" sheetId="78" r:id="rId11"/>
    <sheet name="03 March 2026" sheetId="79" r:id="rId12"/>
    <sheet name="04 March 2026" sheetId="80" r:id="rId13"/>
    <sheet name="05 March 2026" sheetId="81" r:id="rId14"/>
    <sheet name="06 March 2026" sheetId="82" r:id="rId15"/>
    <sheet name="MINING" sheetId="67" state="hidden" r:id="rId16"/>
    <sheet name="ENGINEERING" sheetId="68" state="hidden" r:id="rId17"/>
  </sheets>
  <definedNames>
    <definedName name="_xlnm._FilterDatabase" localSheetId="0" hidden="1">'13 Feb 26'!$B$1:$B$75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82" l="1"/>
  <c r="I16" i="82"/>
  <c r="K16" i="82" s="1"/>
  <c r="K15" i="82"/>
  <c r="K14" i="82"/>
  <c r="K13" i="82"/>
  <c r="K12" i="82"/>
  <c r="K11" i="82"/>
  <c r="K10" i="82"/>
  <c r="K9" i="82"/>
  <c r="K8" i="82"/>
  <c r="K7" i="82"/>
  <c r="K6" i="82"/>
  <c r="K5" i="82"/>
  <c r="K4" i="82"/>
  <c r="K3" i="82"/>
  <c r="J16" i="81"/>
  <c r="I16" i="81"/>
  <c r="K15" i="81"/>
  <c r="K14" i="81"/>
  <c r="K13" i="81"/>
  <c r="K12" i="81"/>
  <c r="K11" i="81"/>
  <c r="K10" i="81"/>
  <c r="K9" i="81"/>
  <c r="K8" i="81"/>
  <c r="K7" i="81"/>
  <c r="K6" i="81"/>
  <c r="K5" i="81"/>
  <c r="K4" i="81"/>
  <c r="K3" i="81"/>
  <c r="K16" i="81" l="1"/>
  <c r="J16" i="80"/>
  <c r="I16" i="80"/>
  <c r="K16" i="80" s="1"/>
  <c r="K15" i="80"/>
  <c r="K14" i="80"/>
  <c r="K13" i="80"/>
  <c r="K12" i="80"/>
  <c r="K11" i="80"/>
  <c r="K10" i="80"/>
  <c r="K9" i="80"/>
  <c r="K8" i="80"/>
  <c r="K7" i="80"/>
  <c r="K6" i="80"/>
  <c r="K5" i="80"/>
  <c r="K4" i="80"/>
  <c r="K3" i="80"/>
  <c r="J16" i="79"/>
  <c r="I16" i="79"/>
  <c r="K15" i="79"/>
  <c r="K14" i="79"/>
  <c r="K13" i="79"/>
  <c r="K12" i="79"/>
  <c r="K11" i="79"/>
  <c r="K10" i="79"/>
  <c r="K9" i="79"/>
  <c r="K8" i="79"/>
  <c r="K7" i="79"/>
  <c r="K6" i="79"/>
  <c r="K5" i="79"/>
  <c r="K4" i="79"/>
  <c r="K3" i="79"/>
  <c r="J16" i="78"/>
  <c r="I16" i="78"/>
  <c r="K15" i="78"/>
  <c r="K14" i="78"/>
  <c r="K13" i="78"/>
  <c r="K12" i="78"/>
  <c r="K11" i="78"/>
  <c r="K10" i="78"/>
  <c r="K9" i="78"/>
  <c r="K8" i="78"/>
  <c r="K7" i="78"/>
  <c r="K6" i="78"/>
  <c r="K5" i="78"/>
  <c r="K4" i="78"/>
  <c r="K3" i="78"/>
  <c r="J16" i="77"/>
  <c r="I16" i="77"/>
  <c r="K15" i="77"/>
  <c r="K14" i="77"/>
  <c r="K13" i="77"/>
  <c r="K12" i="77"/>
  <c r="K11" i="77"/>
  <c r="K10" i="77"/>
  <c r="K9" i="77"/>
  <c r="K8" i="77"/>
  <c r="K7" i="77"/>
  <c r="K6" i="77"/>
  <c r="K5" i="77"/>
  <c r="K4" i="77"/>
  <c r="K3" i="77"/>
  <c r="J16" i="76"/>
  <c r="K16" i="76" s="1"/>
  <c r="I16" i="76"/>
  <c r="K15" i="76"/>
  <c r="K14" i="76"/>
  <c r="K13" i="76"/>
  <c r="K12" i="76"/>
  <c r="K11" i="76"/>
  <c r="K10" i="76"/>
  <c r="K9" i="76"/>
  <c r="K8" i="76"/>
  <c r="K7" i="76"/>
  <c r="K6" i="76"/>
  <c r="K5" i="76"/>
  <c r="K4" i="76"/>
  <c r="K3" i="76"/>
  <c r="J16" i="75"/>
  <c r="K16" i="75" s="1"/>
  <c r="I16" i="75"/>
  <c r="K15" i="75"/>
  <c r="K14" i="75"/>
  <c r="K13" i="75"/>
  <c r="K12" i="75"/>
  <c r="K11" i="75"/>
  <c r="K10" i="75"/>
  <c r="K9" i="75"/>
  <c r="K8" i="75"/>
  <c r="K7" i="75"/>
  <c r="K6" i="75"/>
  <c r="K5" i="75"/>
  <c r="K4" i="75"/>
  <c r="K3" i="75"/>
  <c r="J16" i="74"/>
  <c r="I16" i="74"/>
  <c r="K15" i="74"/>
  <c r="K14" i="74"/>
  <c r="K13" i="74"/>
  <c r="K12" i="74"/>
  <c r="K11" i="74"/>
  <c r="K10" i="74"/>
  <c r="K9" i="74"/>
  <c r="K8" i="74"/>
  <c r="K7" i="74"/>
  <c r="K6" i="74"/>
  <c r="K5" i="74"/>
  <c r="K4" i="74"/>
  <c r="K3" i="74"/>
  <c r="J16" i="73"/>
  <c r="I16" i="73"/>
  <c r="K15" i="73"/>
  <c r="K14" i="73"/>
  <c r="K13" i="73"/>
  <c r="K12" i="73"/>
  <c r="K11" i="73"/>
  <c r="K10" i="73"/>
  <c r="K9" i="73"/>
  <c r="K8" i="73"/>
  <c r="K7" i="73"/>
  <c r="K6" i="73"/>
  <c r="K5" i="73"/>
  <c r="K4" i="73"/>
  <c r="K3" i="73"/>
  <c r="J16" i="72"/>
  <c r="I16" i="72"/>
  <c r="K16" i="72" s="1"/>
  <c r="K15" i="72"/>
  <c r="K14" i="72"/>
  <c r="K13" i="72"/>
  <c r="K12" i="72"/>
  <c r="K11" i="72"/>
  <c r="K10" i="72"/>
  <c r="K9" i="72"/>
  <c r="K8" i="72"/>
  <c r="K7" i="72"/>
  <c r="K6" i="72"/>
  <c r="K5" i="72"/>
  <c r="K4" i="72"/>
  <c r="K3" i="72"/>
  <c r="K16" i="74" l="1"/>
  <c r="K16" i="73"/>
  <c r="K16" i="77"/>
  <c r="K16" i="78"/>
  <c r="K16" i="79"/>
  <c r="J16" i="71"/>
  <c r="I16" i="71"/>
  <c r="K16" i="71" s="1"/>
  <c r="K15" i="71"/>
  <c r="K14" i="71"/>
  <c r="K13" i="71"/>
  <c r="K12" i="71"/>
  <c r="K11" i="71"/>
  <c r="K10" i="71"/>
  <c r="K9" i="71"/>
  <c r="K8" i="71"/>
  <c r="K7" i="71"/>
  <c r="K6" i="71"/>
  <c r="K5" i="71"/>
  <c r="K4" i="71"/>
  <c r="K3" i="71"/>
  <c r="J16" i="70" l="1"/>
  <c r="I16" i="70"/>
  <c r="K16" i="70" s="1"/>
  <c r="K15" i="70"/>
  <c r="K14" i="70"/>
  <c r="K13" i="70"/>
  <c r="K12" i="70"/>
  <c r="K11" i="70"/>
  <c r="K10" i="70"/>
  <c r="K9" i="70"/>
  <c r="K8" i="70"/>
  <c r="K7" i="70"/>
  <c r="K6" i="70"/>
  <c r="K5" i="70"/>
  <c r="K4" i="70"/>
  <c r="K3" i="70"/>
  <c r="J16" i="69" l="1"/>
  <c r="I16" i="69"/>
  <c r="K15" i="69"/>
  <c r="K14" i="69"/>
  <c r="K13" i="69"/>
  <c r="K12" i="69"/>
  <c r="K11" i="69"/>
  <c r="K10" i="69"/>
  <c r="K9" i="69"/>
  <c r="K8" i="69"/>
  <c r="K7" i="69"/>
  <c r="K6" i="69"/>
  <c r="K5" i="69"/>
  <c r="K4" i="69"/>
  <c r="K3" i="69"/>
  <c r="J15" i="66"/>
  <c r="I15" i="66"/>
  <c r="K13" i="66"/>
  <c r="K12" i="66"/>
  <c r="K11" i="66"/>
  <c r="K16" i="69" l="1"/>
  <c r="K15" i="66"/>
  <c r="K14" i="66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<sst xmlns="http://schemas.openxmlformats.org/spreadsheetml/2006/main" count="4107" uniqueCount="407">
  <si>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</si>
  <si>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</si>
  <si>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</si>
  <si>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</si>
  <si>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</si>
  <si>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</si>
  <si>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</si>
  <si>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</si>
  <si>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</si>
  <si>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</si>
  <si>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</si>
  <si>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</si>
  <si>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</si>
  <si>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</si>
  <si>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</si>
  <si>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</si>
  <si>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</si>
  <si>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</si>
  <si>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</si>
  <si>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</si>
  <si>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</si>
  <si>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</si>
  <si>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</si>
  <si>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</si>
  <si>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</si>
  <si>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</si>
  <si>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</si>
  <si>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</si>
  <si>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</si>
  <si>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</si>
  <si>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</si>
  <si>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</si>
  <si>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</si>
  <si>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</si>
  <si>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</si>
  <si>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</si>
  <si>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</si>
  <si>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</si>
  <si>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</si>
  <si>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</si>
  <si>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</si>
  <si>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</si>
  <si>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</si>
  <si>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</si>
  <si>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</si>
  <si>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</si>
  <si>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</si>
  <si>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</si>
  <si>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</si>
  <si>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</si>
  <si>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</si>
  <si>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</si>
  <si>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</si>
  <si>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</si>
  <si>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</si>
  <si>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</si>
  <si>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</si>
  <si>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</si>
  <si>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</si>
  <si>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</si>
  <si>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</si>
  <si>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</si>
  <si>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</si>
  <si>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</si>
  <si>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</si>
  <si>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</si>
  <si>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</si>
  <si>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</si>
  <si>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</si>
  <si>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</si>
  <si>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</si>
  <si>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</si>
  <si>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</si>
  <si>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</si>
  <si>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</si>
  <si>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</si>
  <si>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</si>
  <si>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</si>
  <si>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</si>
  <si>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</si>
  <si>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</si>
  <si>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</si>
  <si>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</si>
  <si>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</si>
  <si>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</si>
  <si>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</si>
  <si>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</si>
  <si>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</si>
  <si>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</si>
  <si>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</si>
  <si>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</si>
  <si>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</si>
  <si>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</si>
  <si>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</si>
  <si>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</si>
  <si>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</si>
  <si>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</si>
  <si>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</si>
  <si>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</si>
  <si>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</si>
  <si>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</si>
  <si>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</si>
  <si>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</si>
  <si>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</si>
  <si>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</si>
  <si>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</si>
  <si>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</si>
  <si>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</si>
  <si>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</si>
  <si>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</si>
  <si>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</si>
  <si>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</si>
  <si>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</si>
  <si>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</si>
  <si>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</si>
  <si>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</si>
  <si>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</si>
  <si>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</si>
  <si>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</si>
  <si>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</si>
  <si>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</si>
  <si>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</si>
  <si>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</si>
  <si>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</si>
  <si>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</si>
  <si>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</si>
  <si>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</si>
  <si>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</si>
  <si>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</si>
  <si>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</si>
  <si>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</si>
  <si>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</si>
  <si>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</si>
  <si>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</si>
  <si>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</si>
  <si>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</si>
  <si>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</si>
  <si>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</si>
  <si>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</si>
  <si>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</si>
  <si>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</si>
  <si>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</si>
  <si>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</si>
  <si>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</si>
  <si>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</si>
  <si>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</si>
  <si>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</si>
  <si>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</si>
  <si>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</si>
  <si>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</si>
  <si>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</si>
  <si>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</si>
  <si>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</si>
  <si>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</si>
  <si>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</si>
  <si>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</si>
  <si>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</si>
  <si>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</si>
  <si>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</si>
  <si>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</si>
  <si>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</si>
  <si>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</si>
  <si>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</si>
  <si>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</si>
  <si>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</si>
  <si>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</si>
  <si>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</si>
  <si>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</si>
  <si>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</si>
  <si>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</si>
  <si>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</si>
  <si>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</si>
  <si>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</si>
  <si>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</si>
  <si>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</si>
  <si>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</si>
  <si>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</si>
  <si>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</si>
  <si>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</si>
  <si>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</si>
  <si>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</si>
  <si>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</si>
  <si>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</si>
  <si>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</si>
  <si>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</si>
  <si>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</si>
  <si>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</si>
  <si>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</si>
  <si>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</si>
  <si>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</si>
  <si>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</si>
  <si>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</si>
  <si>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</si>
  <si>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</si>
  <si>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</si>
  <si>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</si>
  <si>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</si>
  <si>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</si>
  <si>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</si>
  <si>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</si>
  <si>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</si>
  <si>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</si>
  <si>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</si>
  <si>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</si>
  <si>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</si>
  <si>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</si>
  <si>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</si>
  <si>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</si>
  <si>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</si>
  <si>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</si>
  <si>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</si>
  <si>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</si>
  <si>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</si>
  <si>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</si>
  <si>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</si>
  <si>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</si>
  <si>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</si>
  <si>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</si>
  <si>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</si>
  <si>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5/8</t>
  </si>
  <si>
    <t xml:space="preserve"> X 1 annual leave </t>
  </si>
  <si>
    <t xml:space="preserve">Engine commision( No comminication between engine and Machine) </t>
  </si>
  <si>
    <t>2/4</t>
  </si>
  <si>
    <t>1/1</t>
  </si>
  <si>
    <t>Strata (Surface decline &amp; No acces to the gat, its locked ) - (SOS - EOS)</t>
  </si>
  <si>
    <t>Rear axle -  (SOS - EOS)</t>
  </si>
  <si>
    <t xml:space="preserve">x1 on sick leave untill April /x1 at training center as from last year </t>
  </si>
  <si>
    <t>13/02/2026 DAY SHIFT REPORT</t>
  </si>
  <si>
    <t>Petroman - (SOS - 08:17)</t>
  </si>
  <si>
    <t xml:space="preserve">Petroman - (11:03 - </t>
  </si>
  <si>
    <t>Petroman - (07:36 - 10:07)</t>
  </si>
  <si>
    <t>Not accelerating &amp; Strata - (09:22 - 10:59)</t>
  </si>
  <si>
    <t>Not accelerating - (10:34 - 12:34)</t>
  </si>
  <si>
    <t>Petroman - 08:29 - 09:47)</t>
  </si>
  <si>
    <t>Petroman - 12:37 - 09:46)</t>
  </si>
  <si>
    <t>No reverse alarm - (06:48 - 08:30)</t>
  </si>
  <si>
    <t xml:space="preserve">Maverick tropper    </t>
  </si>
  <si>
    <t>1/4</t>
  </si>
  <si>
    <t>x1 on sick leave untill April /x1 at training center as from last year /X1 FR</t>
  </si>
  <si>
    <t xml:space="preserve"> X 1 annual leave /</t>
  </si>
  <si>
    <t>Front axle - (SOS - EOS)</t>
  </si>
  <si>
    <t>Center portion - (SOS - EOS)</t>
  </si>
  <si>
    <t>Not Starting, Emergency brake knob broken off, Ball joint - (SOS - EOS)</t>
  </si>
  <si>
    <t xml:space="preserve">Waiting for parts </t>
  </si>
  <si>
    <t>Hooter - (12:06 - 12:41)</t>
  </si>
  <si>
    <t>Starting - (08:26 - 10:48)</t>
  </si>
  <si>
    <t>Not Starting - (08:31 - 11:22)</t>
  </si>
  <si>
    <t>Front propshaft -  (SOS - EOS)</t>
  </si>
  <si>
    <t>Not Starting - (09:06 - 12:18)</t>
  </si>
  <si>
    <t>Not Starting - (SOS - 13:56)</t>
  </si>
  <si>
    <t>No Acceleration - (14:03 - 14:38)</t>
  </si>
  <si>
    <t>Not accelerating / Main switch faulty - (SOS - 14:38)</t>
  </si>
  <si>
    <t>NeroView is Off - (13:57 - 14:38)</t>
  </si>
  <si>
    <t>Strata (Surface decline &amp; No acces to the gat, its locked ) (Strata techcian refused to go with - (SOS - EOS)</t>
  </si>
  <si>
    <t>16/02/2026 DAY SHIFT REPORT</t>
  </si>
  <si>
    <t xml:space="preserve">Scrapped / operational </t>
  </si>
  <si>
    <t>17/02/2026 DAY SHIFT REPORT</t>
  </si>
  <si>
    <t>Puncture - (07:37 - EOS)</t>
  </si>
  <si>
    <t>Center portion - (SOS - 13:09)</t>
  </si>
  <si>
    <t>Puncture - (13:14 - 14:06)</t>
  </si>
  <si>
    <t>Petroman - (SOS - 10:04)</t>
  </si>
  <si>
    <t>Not Accelerating - (SOS - EOS)</t>
  </si>
  <si>
    <t>Mulfunctioning  outriggers - (08:43 - 10:49)</t>
  </si>
  <si>
    <t>Mulfunctioning  outriggers - (08:44 - 09:44)</t>
  </si>
  <si>
    <t>Scrapped - plant GES is refusing to let Go of the vehicle.</t>
  </si>
  <si>
    <t>Replaced with LD0645</t>
  </si>
  <si>
    <t>Engine cut off - (09:53 - 10:52)</t>
  </si>
  <si>
    <t>Faulty Strata - (08:58 - 11:07)</t>
  </si>
  <si>
    <t>Waiting for parts / Prop shaft to be delivered on the 18/02/2026</t>
  </si>
  <si>
    <t>18/02/2026 DAY SHIFT REPORT</t>
  </si>
  <si>
    <t xml:space="preserve">Strata - (09:13 - 11:18) </t>
  </si>
  <si>
    <t>Oil leak - (11:01 - 13:29)</t>
  </si>
  <si>
    <t>Puncture - (07:03 - 08:06)</t>
  </si>
  <si>
    <t>Not Accelerating - (SOS - 10:19)</t>
  </si>
  <si>
    <t>Not accelerating - (SOS - 12:42)</t>
  </si>
  <si>
    <t>Not accelerating - (SOS - 08:43)</t>
  </si>
  <si>
    <t>Leaf spring / U bolt - (10:06 - 14:55)</t>
  </si>
  <si>
    <t>Puncture - (SOS - EOS)</t>
  </si>
  <si>
    <t>x1 on sick leave untill April /x1 at training center as from last year / X1 Proto call out</t>
  </si>
  <si>
    <t>Clutch / Missing shock - (07:27 - EOS)</t>
  </si>
  <si>
    <t>19/02/2026 DAY SHIFT REPORT</t>
  </si>
  <si>
    <t>Clutch / Missing shock - (SOS - EOS)</t>
  </si>
  <si>
    <t>Puncture - (SOS - 08:01)</t>
  </si>
  <si>
    <t>Head lights / Strata / Not Accelerating - (08:13 - 10:31)</t>
  </si>
  <si>
    <t>Not accelerating - (08:29 - 09:50)</t>
  </si>
  <si>
    <t>NeroView switches off while driving - (SOS - 09:50)</t>
  </si>
  <si>
    <t>Strata / main switch - (SOS - EOS)</t>
  </si>
  <si>
    <t>Worn CV joint - (08:00 - 14:51)</t>
  </si>
  <si>
    <t>Not Starting - (SOS - 09:32)</t>
  </si>
  <si>
    <t>Not Starting - (SOS - EOS)</t>
  </si>
  <si>
    <t>Brake pedal faulty - ( 08:58 - EOS)</t>
  </si>
  <si>
    <t>4/8</t>
  </si>
  <si>
    <t>2 x tyre Change - (10:07 - 12:02)</t>
  </si>
  <si>
    <t>Petroman - (08:10 -10:17)</t>
  </si>
  <si>
    <t>Puncture - (10:49 - EOS)</t>
  </si>
  <si>
    <t>Not Starting - (09:07 - 11:27)</t>
  </si>
  <si>
    <t>Rim replacement - (SOS - 12:48)</t>
  </si>
  <si>
    <t>Not Starting, Emergency brake knob broken off, Ball joint - (SOS - 08:53)</t>
  </si>
  <si>
    <t>Lights - (10:29 - EOS)</t>
  </si>
  <si>
    <t>Lights - (11:44 - 12:32)</t>
  </si>
  <si>
    <t>Strata - (09:22 - 10:40)</t>
  </si>
  <si>
    <t>No acceleration - (07:32 - 10:40)</t>
  </si>
  <si>
    <t>Not Starting - 08:55 - 10:33)</t>
  </si>
  <si>
    <t>Strata - (12:52 - 13:58)</t>
  </si>
  <si>
    <t>Engine cut off / Oil leak - (14:13 - EOS)</t>
  </si>
  <si>
    <t>3/3</t>
  </si>
  <si>
    <t>Building axle from two scrapped fermels(No avail axle)</t>
  </si>
  <si>
    <t>23/02/2026 DAY SHIFT REPORT</t>
  </si>
  <si>
    <t xml:space="preserve">Service / Maintenance </t>
  </si>
  <si>
    <t>24/02/2026 DAY SHIFT REPORT</t>
  </si>
  <si>
    <t>Clutch / Rear shock - (SOS - EOS)</t>
  </si>
  <si>
    <t>Puncture - (10:49 - 10:46)</t>
  </si>
  <si>
    <t>Front axle - (SOS - 14:35)</t>
  </si>
  <si>
    <t>Not Starting - (09:10 - EOS)</t>
  </si>
  <si>
    <t>Strata - (09:11 - 10:01)</t>
  </si>
  <si>
    <t>Strata - 08:16 - 09:10)</t>
  </si>
  <si>
    <t>Outriggers - (SOS - 09:25) Engine cut off - (13:25 -EOS)</t>
  </si>
  <si>
    <t>Machine was not brought in for service with No reason.</t>
  </si>
  <si>
    <t>Waiting for front axle.</t>
  </si>
  <si>
    <t>Exhaust Flex hose - (09:36 - 10:10)</t>
  </si>
  <si>
    <t xml:space="preserve"> X 1 annual leave / Add leave.</t>
  </si>
  <si>
    <t>x1 on sick leave untill April /x1 at training center as from last year / training center.</t>
  </si>
  <si>
    <t>25/02/2026 DAY SHIFT REPORT</t>
  </si>
  <si>
    <t>Not accelerating - (SOS - 12:32)</t>
  </si>
  <si>
    <t>Hub broken off - (12:20 - EOS)</t>
  </si>
  <si>
    <t>Not accelerating - (SOS - 10:05)</t>
  </si>
  <si>
    <t>Transfer box leaking oil - (13:22 - EOS)</t>
  </si>
  <si>
    <t>Bucket Sensor - (SOS - 09:56)</t>
  </si>
  <si>
    <t>Fire extinguisher braket - (SOS - EOS) / Not Starting - (10:48 - EOS)</t>
  </si>
  <si>
    <t>Brakes not realising - (12:22 - 15:11)</t>
  </si>
  <si>
    <t>26/02/2026 DAY SHIFT REPORT</t>
  </si>
  <si>
    <t>27/02/2026 DAY SHIFT REPORT</t>
  </si>
  <si>
    <t>Puncture - 07:57 - 10:10</t>
  </si>
  <si>
    <t>new Wiring of Cas Level is draining battery</t>
  </si>
  <si>
    <t>Hub broken off - (SOS - EOS)</t>
  </si>
  <si>
    <t>Petroman - (09:53 - 13:35)</t>
  </si>
  <si>
    <t>Transfer box leaking oil - (SOS - EOS)</t>
  </si>
  <si>
    <t>Waiting for Transfer box</t>
  </si>
  <si>
    <t>Engine cut off / Hydraulic Temp high - (SOS - 09:57)</t>
  </si>
  <si>
    <t xml:space="preserve"> Not Starting/Can bus faulty - (SOS - EOS)</t>
  </si>
  <si>
    <t>Not starting - (09:21 -11:47)</t>
  </si>
  <si>
    <t>Warnin signs - (SOS -EOS)</t>
  </si>
  <si>
    <t>Tag box - (SOS- 12:54) Strata - (SOS - 11:12)</t>
  </si>
  <si>
    <t>Basket &amp; outriggers mulfunctiong - (SOS-EOS)</t>
  </si>
  <si>
    <t>Brakes not realising - (11:20 - 15:00)</t>
  </si>
  <si>
    <t>02/03/2026 DAY SHIFT REPORT</t>
  </si>
  <si>
    <t>3/8</t>
  </si>
  <si>
    <t>0/4</t>
  </si>
  <si>
    <t>1/3</t>
  </si>
  <si>
    <t>x2 sick /x1 at training center as from last year / X1 proto.</t>
  </si>
  <si>
    <t>Not Starting / Warning Signs - ( SOS-EOS)</t>
  </si>
  <si>
    <t>Tag box damaged - (SOS -EOS)</t>
  </si>
  <si>
    <t>New wiring of Cas Level is draining battery</t>
  </si>
  <si>
    <t>Brakes not releasing - (07:05 - 14:04)</t>
  </si>
  <si>
    <t>Brakes not releasing - (SOS - EOS)</t>
  </si>
  <si>
    <t>Broken door Sensor - (SOS - 09:07)</t>
  </si>
  <si>
    <t>Not starting - (SOS - 09:35)</t>
  </si>
  <si>
    <t>Puncture - (08:53 - 12:22)</t>
  </si>
  <si>
    <t>Safety belt faulty - (07:15 - 13:38)</t>
  </si>
  <si>
    <t>Steering cylinder bush - (SOS - EOS)</t>
  </si>
  <si>
    <t>waiting for part number/quatation</t>
  </si>
  <si>
    <t>03/03/2026 DAY SHIFT REPORT</t>
  </si>
  <si>
    <t>Start without Tag - (06:52 - 09:36)</t>
  </si>
  <si>
    <t>Not accelerating - (08:05 - 09:14)</t>
  </si>
  <si>
    <t>Wheel Studs broken off - (10:57 - 15:08)</t>
  </si>
  <si>
    <t xml:space="preserve">Reported to petroman technician </t>
  </si>
  <si>
    <t>Leaf spring broken off - (SOS - 13:16)</t>
  </si>
  <si>
    <t>Broken door Sensor - (SOS - 15:00)</t>
  </si>
  <si>
    <t>Not accelerating - (12:11 - 13:14)</t>
  </si>
  <si>
    <t>Not starting - (SOS - 10:25)</t>
  </si>
  <si>
    <t xml:space="preserve">waiting for part </t>
  </si>
  <si>
    <t>Not selecting gears - (SOS - 10:29)</t>
  </si>
  <si>
    <t>Engine cut off - (12:19 - 13:21)</t>
  </si>
  <si>
    <t>Waiting for SC50</t>
  </si>
  <si>
    <t>Bucket /stabilizers Mulfunctioning - (SOS - EOS)</t>
  </si>
  <si>
    <t xml:space="preserve"> X 1 annual leave / X1 Sick </t>
  </si>
  <si>
    <t>04/03/2026 DAY SHIFT REPORT</t>
  </si>
  <si>
    <t>Not refueling - (08:30 - 11:02)</t>
  </si>
  <si>
    <t>Broken door Sensor - (SOS - 10:44)</t>
  </si>
  <si>
    <t>Not Starting - (09:07 - 14:25)</t>
  </si>
  <si>
    <t>Not selecting gears - (09:09 - EOS)</t>
  </si>
  <si>
    <t xml:space="preserve"> Not Starting/Canbus faulty - (SOS - EOS)</t>
  </si>
  <si>
    <t>05/03/2026 DAY SHIFT REPORT</t>
  </si>
  <si>
    <t>Lost keys - (SOS - EOS)</t>
  </si>
  <si>
    <t>Puncture - (10:13 -12:41)</t>
  </si>
  <si>
    <t>Strata / CWS Stop - (13:05 - EOS)</t>
  </si>
  <si>
    <t>Hub - (SOS - 09:54)</t>
  </si>
  <si>
    <t>Park brake - (SOS - EOS)</t>
  </si>
  <si>
    <t>Strata - (07:55 - 10:05)</t>
  </si>
  <si>
    <t>CV Joint - (SOS - 14:47)</t>
  </si>
  <si>
    <t>Noise on the wheels - (12:41 - 20:43)</t>
  </si>
  <si>
    <t>2/3</t>
  </si>
  <si>
    <t>06/03/2026 DAY SHIFT REPORT</t>
  </si>
  <si>
    <t>Door locks &amp; Loose Radius arm - ( 08:33 - EOS)</t>
  </si>
  <si>
    <t>Not accelerating - (08:35 - 12:27)</t>
  </si>
  <si>
    <t>Tag box damaged - (SOS -07:32))</t>
  </si>
  <si>
    <t>Level 9 commisioning  - (SOS - EOS)</t>
  </si>
  <si>
    <t>Strata / CWS Stop / Park brake not releasing  - (SOS - 08:47)</t>
  </si>
  <si>
    <t>Level 9 commisioning - (SOS - EOS)</t>
  </si>
  <si>
    <t>Park brake not releasing - (07:23 - 10:25)</t>
  </si>
  <si>
    <t>Strata - (08:46 - 09:56))</t>
  </si>
  <si>
    <t>Not accelerating - (12:54 - 14:16)</t>
  </si>
  <si>
    <t>Not accelerating - (07:25 - 11:06) / Broken  leaf spring and u -bolts - (12:32 -EOS)</t>
  </si>
  <si>
    <t>Replacing tyres - (11:15 - 11:57)</t>
  </si>
  <si>
    <t>Puncture - (08:45 - 10:52) / Park brake not releasing - (09:45 - 11:09)</t>
  </si>
  <si>
    <t xml:space="preserve">Induction </t>
  </si>
  <si>
    <t>x 1 Indction / x1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</si>
</sst>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#,##0;[Red]\-&quot;R&quot;#,##0"/>
    <numFmt numFmtId="165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17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/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6" xfId="0" applyBorder="1"/>
    <xf numFmtId="1" fontId="0" fillId="0" borderId="6" xfId="0" applyNumberFormat="1" applyBorder="1"/>
    <xf numFmtId="0" fontId="3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1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0" fillId="11" borderId="1" xfId="0" applyNumberFormat="1" applyFill="1" applyBorder="1" applyAlignment="1">
      <alignment horizontal="center"/>
    </xf>
    <xf numFmtId="0" fontId="0" fillId="12" borderId="12" xfId="0" applyFill="1" applyBorder="1"/>
    <xf numFmtId="0" fontId="0" fillId="4" borderId="13" xfId="0" applyFill="1" applyBorder="1"/>
    <xf numFmtId="0" fontId="0" fillId="13" borderId="13" xfId="0" applyFill="1" applyBorder="1"/>
    <xf numFmtId="0" fontId="0" fillId="5" borderId="14" xfId="0" applyFill="1" applyBorder="1"/>
    <xf numFmtId="0" fontId="0" fillId="6" borderId="13" xfId="0" applyFill="1" applyBorder="1"/>
    <xf numFmtId="0" fontId="0" fillId="7" borderId="13" xfId="0" applyFill="1" applyBorder="1"/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4" xfId="0" applyFill="1" applyBorder="1"/>
    <xf numFmtId="0" fontId="0" fillId="0" borderId="15" xfId="0" applyBorder="1"/>
    <xf numFmtId="0" fontId="0" fillId="0" borderId="24" xfId="0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7" xfId="0" quotePrefix="1" applyFont="1" applyBorder="1" applyAlignment="1">
      <alignment horizontal="center"/>
    </xf>
    <xf numFmtId="1" fontId="0" fillId="11" borderId="8" xfId="0" applyNumberFormat="1" applyFill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164" fontId="0" fillId="0" borderId="4" xfId="0" applyNumberFormat="1" applyBorder="1" applyAlignment="1">
      <alignment horizontal="left"/>
    </xf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164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27" xfId="0" applyBorder="1"/>
    <xf numFmtId="0" fontId="5" fillId="0" borderId="28" xfId="0" quotePrefix="1" applyFont="1" applyBorder="1" applyAlignment="1">
      <alignment horizontal="center"/>
    </xf>
    <xf numFmtId="1" fontId="0" fillId="11" borderId="27" xfId="0" applyNumberFormat="1" applyFill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1" fontId="0" fillId="0" borderId="19" xfId="0" applyNumberFormat="1" applyBorder="1"/>
    <xf numFmtId="0" fontId="0" fillId="2" borderId="30" xfId="0" applyFill="1" applyBorder="1"/>
    <xf numFmtId="0" fontId="0" fillId="0" borderId="31" xfId="0" applyBorder="1"/>
    <xf numFmtId="0" fontId="0" fillId="0" borderId="32" xfId="0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34" xfId="0" quotePrefix="1" applyFont="1" applyFill="1" applyBorder="1" applyAlignment="1">
      <alignment horizontal="center"/>
    </xf>
    <xf numFmtId="0" fontId="0" fillId="0" borderId="35" xfId="0" applyBorder="1"/>
    <xf numFmtId="0" fontId="5" fillId="0" borderId="36" xfId="0" quotePrefix="1" applyFont="1" applyBorder="1" applyAlignment="1">
      <alignment horizontal="center"/>
    </xf>
    <xf numFmtId="1" fontId="0" fillId="0" borderId="22" xfId="0" applyNumberFormat="1" applyBorder="1"/>
    <xf numFmtId="0" fontId="5" fillId="0" borderId="12" xfId="0" applyFont="1" applyBorder="1" applyAlignment="1">
      <alignment horizontal="center"/>
    </xf>
    <xf numFmtId="0" fontId="5" fillId="0" borderId="21" xfId="0" quotePrefix="1" applyFont="1" applyBorder="1" applyAlignment="1">
      <alignment horizontal="center"/>
    </xf>
    <xf numFmtId="0" fontId="0" fillId="8" borderId="0" xfId="0" applyFill="1"/>
    <xf numFmtId="49" fontId="0" fillId="3" borderId="13" xfId="0" applyNumberFormat="1" applyFill="1" applyBorder="1"/>
    <xf numFmtId="0" fontId="3" fillId="0" borderId="15" xfId="0" applyFont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9" fontId="0" fillId="12" borderId="23" xfId="4" applyFont="1" applyFill="1" applyBorder="1" applyAlignment="1">
      <alignment horizontal="center"/>
    </xf>
    <xf numFmtId="9" fontId="0" fillId="12" borderId="16" xfId="4" applyFont="1" applyFill="1" applyBorder="1" applyAlignment="1">
      <alignment horizontal="center"/>
    </xf>
    <xf numFmtId="9" fontId="0" fillId="4" borderId="16" xfId="4" applyFont="1" applyFill="1" applyBorder="1" applyAlignment="1">
      <alignment horizontal="center"/>
    </xf>
    <xf numFmtId="9" fontId="0" fillId="13" borderId="16" xfId="4" applyFont="1" applyFill="1" applyBorder="1" applyAlignment="1">
      <alignment horizontal="center"/>
    </xf>
    <xf numFmtId="9" fontId="0" fillId="5" borderId="16" xfId="4" applyFont="1" applyFill="1" applyBorder="1" applyAlignment="1">
      <alignment horizontal="center"/>
    </xf>
    <xf numFmtId="9" fontId="0" fillId="6" borderId="16" xfId="4" applyFont="1" applyFill="1" applyBorder="1" applyAlignment="1">
      <alignment horizontal="center"/>
    </xf>
    <xf numFmtId="9" fontId="0" fillId="7" borderId="33" xfId="4" applyFont="1" applyFill="1" applyBorder="1" applyAlignment="1">
      <alignment horizontal="center"/>
    </xf>
    <xf numFmtId="9" fontId="0" fillId="3" borderId="17" xfId="4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14" borderId="37" xfId="0" applyFont="1" applyFill="1" applyBorder="1" applyAlignment="1">
      <alignment horizontal="center"/>
    </xf>
    <xf numFmtId="9" fontId="3" fillId="14" borderId="33" xfId="4" applyFont="1" applyFill="1" applyBorder="1" applyAlignment="1">
      <alignment horizontal="center"/>
    </xf>
    <xf numFmtId="0" fontId="3" fillId="14" borderId="15" xfId="0" applyFont="1" applyFill="1" applyBorder="1"/>
    <xf numFmtId="0" fontId="3" fillId="14" borderId="15" xfId="0" applyFont="1" applyFill="1" applyBorder="1" applyAlignment="1">
      <alignment horizontal="center"/>
    </xf>
    <xf numFmtId="9" fontId="3" fillId="14" borderId="20" xfId="4" applyFont="1" applyFill="1" applyBorder="1" applyAlignment="1">
      <alignment horizontal="center"/>
    </xf>
    <xf numFmtId="0" fontId="0" fillId="14" borderId="37" xfId="0" applyFill="1" applyBorder="1"/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0" fillId="0" borderId="43" xfId="0" applyBorder="1"/>
    <xf numFmtId="1" fontId="0" fillId="0" borderId="34" xfId="0" applyNumberFormat="1" applyBorder="1" applyAlignment="1">
      <alignment horizontal="center"/>
    </xf>
    <xf numFmtId="0" fontId="5" fillId="0" borderId="44" xfId="0" quotePrefix="1" applyFont="1" applyBorder="1" applyAlignment="1">
      <alignment horizontal="center"/>
    </xf>
    <xf numFmtId="1" fontId="0" fillId="0" borderId="17" xfId="0" applyNumberFormat="1" applyBorder="1"/>
    <xf numFmtId="0" fontId="0" fillId="0" borderId="13" xfId="0" applyBorder="1"/>
    <xf numFmtId="0" fontId="5" fillId="0" borderId="21" xfId="0" applyFont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0" fontId="10" fillId="0" borderId="26" xfId="0" applyFont="1" applyBorder="1" applyAlignment="1">
      <alignment horizontal="center"/>
    </xf>
  </cellXfs>
  <cellStyles count="5">
    <cellStyle name="Comma 2" xfId="1" xr:uid="{00000000-0005-0000-0000-000000000000}"/>
    <cellStyle name="Normal" xfId="0" builtinId="0"/>
    <cellStyle name="Normal 2" xfId="2" xr:uid="{00000000-0005-0000-0000-000002000000}"/>
    <cellStyle name="Normal 4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opLeftCell="A52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227</v>
      </c>
    </row>
    <row r="2" spans="1:11" ht="15.75" thickBot="1" x14ac:dyDescent="0.3">
      <c r="A2" s="62" t="s">
        <v>0</v>
      </c>
      <c r="B2" s="48" t="s">
        <v>1</v>
      </c>
      <c r="C2" s="47" t="s">
        <v>2</v>
      </c>
      <c r="D2" s="1" t="s">
        <v>121</v>
      </c>
      <c r="E2" s="8" t="s">
        <v>45</v>
      </c>
      <c r="F2" s="9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63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2</v>
      </c>
      <c r="K3" s="87">
        <f t="shared" ref="K3:K10" si="0">((I3-J3)/I3)</f>
        <v>0.77777777777777779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1</v>
      </c>
      <c r="K4" s="88">
        <f t="shared" si="0"/>
        <v>0.96969696969696972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0</v>
      </c>
      <c r="K6" s="88">
        <f>((I6-J6)/I6)</f>
        <v>1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0</v>
      </c>
      <c r="K7" s="89">
        <f t="shared" si="0"/>
        <v>1</v>
      </c>
    </row>
    <row r="8" spans="1:11" x14ac:dyDescent="0.25">
      <c r="A8" s="63">
        <v>6</v>
      </c>
      <c r="B8" s="66" t="s">
        <v>87</v>
      </c>
      <c r="C8" s="42" t="s">
        <v>75</v>
      </c>
      <c r="D8" s="30" t="s">
        <v>73</v>
      </c>
      <c r="E8" s="3"/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ref="K11:K13" si="1">((I11-J11)/I11)</f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1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1"/>
        <v>1</v>
      </c>
    </row>
    <row r="14" spans="1:11" ht="15.75" thickBot="1" x14ac:dyDescent="0.3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 t="s">
        <v>229</v>
      </c>
      <c r="F15" s="7"/>
      <c r="G15" s="76"/>
      <c r="H15" s="99" t="s">
        <v>122</v>
      </c>
      <c r="I15" s="100">
        <f>SUM(I3:I14)</f>
        <v>65</v>
      </c>
      <c r="J15" s="100">
        <f>SUM(J3:J14)</f>
        <v>4</v>
      </c>
      <c r="K15" s="101">
        <f>((I15-J15)/I15)</f>
        <v>0.93846153846153846</v>
      </c>
    </row>
    <row r="16" spans="1:11" x14ac:dyDescent="0.25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30" t="s">
        <v>73</v>
      </c>
      <c r="E18" s="5"/>
      <c r="F18" s="7"/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/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30" t="s">
        <v>73</v>
      </c>
      <c r="E25" s="5"/>
      <c r="F25" s="7"/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30" t="s">
        <v>73</v>
      </c>
      <c r="E27" s="5"/>
      <c r="F27" s="7"/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30" t="s">
        <v>73</v>
      </c>
      <c r="E30" s="5"/>
      <c r="F30" s="7"/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 t="s">
        <v>228</v>
      </c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/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/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/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/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 t="s">
        <v>230</v>
      </c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17" t="s">
        <v>74</v>
      </c>
      <c r="E40" s="5" t="s">
        <v>224</v>
      </c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30" t="s">
        <v>73</v>
      </c>
      <c r="E41" s="5"/>
      <c r="F41" s="7"/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 t="s">
        <v>231</v>
      </c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 t="s">
        <v>232</v>
      </c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 t="s">
        <v>235</v>
      </c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/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30" t="s">
        <v>73</v>
      </c>
      <c r="E50" s="5"/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17" t="s">
        <v>74</v>
      </c>
      <c r="E51" s="5" t="s">
        <v>225</v>
      </c>
      <c r="F51" s="7"/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/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8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 t="s">
        <v>233</v>
      </c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 t="s">
        <v>234</v>
      </c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30" t="s">
        <v>73</v>
      </c>
      <c r="E60" s="5"/>
      <c r="F60" s="7"/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30" t="s">
        <v>73</v>
      </c>
      <c r="E62" s="5"/>
      <c r="F62" s="7"/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ht="15.75" thickBot="1" x14ac:dyDescent="0.3">
      <c r="A67" s="71">
        <v>65</v>
      </c>
      <c r="B67" s="75" t="s">
        <v>87</v>
      </c>
      <c r="C67" s="72" t="s">
        <v>217</v>
      </c>
      <c r="D67" s="70" t="s">
        <v>73</v>
      </c>
      <c r="E67" s="46"/>
      <c r="F67" s="73"/>
    </row>
    <row r="68" spans="1:6" x14ac:dyDescent="0.25">
      <c r="B68" s="27"/>
      <c r="C68" s="27"/>
      <c r="D68" s="27"/>
      <c r="E68" s="28"/>
      <c r="F68" s="29"/>
    </row>
    <row r="70" spans="1:6" x14ac:dyDescent="0.25">
      <c r="B70" s="24" t="s">
        <v>69</v>
      </c>
      <c r="C70" s="25"/>
      <c r="D70" s="11"/>
    </row>
    <row r="71" spans="1:6" x14ac:dyDescent="0.25">
      <c r="B71" s="12"/>
      <c r="C71" s="13"/>
      <c r="D71" s="14"/>
    </row>
    <row r="72" spans="1:6" x14ac:dyDescent="0.25">
      <c r="B72" s="15" t="s">
        <v>70</v>
      </c>
      <c r="C72" s="23" t="s">
        <v>223</v>
      </c>
      <c r="D72" s="14"/>
    </row>
    <row r="73" spans="1:6" x14ac:dyDescent="0.25">
      <c r="B73" s="15" t="s">
        <v>71</v>
      </c>
      <c r="C73" s="23" t="s">
        <v>219</v>
      </c>
      <c r="D73" s="13" t="s">
        <v>220</v>
      </c>
    </row>
    <row r="74" spans="1:6" x14ac:dyDescent="0.25">
      <c r="B74" s="15" t="s">
        <v>72</v>
      </c>
      <c r="C74" s="22" t="s">
        <v>222</v>
      </c>
      <c r="D74" s="26" t="s">
        <v>226</v>
      </c>
    </row>
    <row r="75" spans="1:6" x14ac:dyDescent="0.25">
      <c r="B75" s="16" t="s">
        <v>109</v>
      </c>
      <c r="C75" s="21" t="s">
        <v>213</v>
      </c>
      <c r="D75" s="26"/>
      <c r="E75" s="11"/>
    </row>
  </sheetData>
  <sortState xmlns:xlrd2="http://schemas.microsoft.com/office/spreadsheetml/2017/richdata2"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"/>
  <sheetViews>
    <sheetView topLeftCell="A49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254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2</v>
      </c>
      <c r="K3" s="87">
        <f t="shared" ref="K3:K13" si="0">((I3-J3)/I3)</f>
        <v>0.77777777777777779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4</v>
      </c>
      <c r="K4" s="88">
        <f t="shared" si="0"/>
        <v>0.87878787878787878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0</v>
      </c>
      <c r="K6" s="88">
        <f>((I6-J6)/I6)</f>
        <v>1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0</v>
      </c>
      <c r="K7" s="89">
        <f t="shared" si="0"/>
        <v>1</v>
      </c>
    </row>
    <row r="8" spans="1:11" x14ac:dyDescent="0.25">
      <c r="A8" s="63">
        <v>6</v>
      </c>
      <c r="B8" s="66" t="s">
        <v>87</v>
      </c>
      <c r="C8" s="42" t="s">
        <v>75</v>
      </c>
      <c r="D8" s="30" t="s">
        <v>73</v>
      </c>
      <c r="E8" s="3"/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7</v>
      </c>
      <c r="K16" s="101">
        <f>((I16-J16)/I16)</f>
        <v>0.89393939393939392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17" t="s">
        <v>74</v>
      </c>
      <c r="E18" s="5" t="s">
        <v>240</v>
      </c>
      <c r="F18" s="7" t="s">
        <v>243</v>
      </c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 t="s">
        <v>252</v>
      </c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17" t="s">
        <v>74</v>
      </c>
      <c r="E22" s="5" t="s">
        <v>241</v>
      </c>
      <c r="F22" s="7" t="s">
        <v>243</v>
      </c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17" t="s">
        <v>74</v>
      </c>
      <c r="E25" s="5" t="s">
        <v>242</v>
      </c>
      <c r="F25" s="7" t="s">
        <v>243</v>
      </c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30" t="s">
        <v>73</v>
      </c>
      <c r="E27" s="5" t="s">
        <v>251</v>
      </c>
      <c r="F27" s="7"/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30" t="s">
        <v>73</v>
      </c>
      <c r="E30" s="5"/>
      <c r="F30" s="7"/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/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/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 t="s">
        <v>244</v>
      </c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 t="s">
        <v>245</v>
      </c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/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17" t="s">
        <v>74</v>
      </c>
      <c r="E40" s="5" t="s">
        <v>253</v>
      </c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30" t="s">
        <v>73</v>
      </c>
      <c r="E41" s="5"/>
      <c r="F41" s="7"/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 t="s">
        <v>250</v>
      </c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 t="s">
        <v>246</v>
      </c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/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30" t="s">
        <v>73</v>
      </c>
      <c r="E50" s="5"/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17" t="s">
        <v>74</v>
      </c>
      <c r="E51" s="5" t="s">
        <v>247</v>
      </c>
      <c r="F51" s="7" t="s">
        <v>243</v>
      </c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/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8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 t="s">
        <v>248</v>
      </c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30" t="s">
        <v>73</v>
      </c>
      <c r="E60" s="5"/>
      <c r="F60" s="7"/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30" t="s">
        <v>73</v>
      </c>
      <c r="E62" s="5" t="s">
        <v>249</v>
      </c>
      <c r="F62" s="7"/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/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255</v>
      </c>
      <c r="F68" s="73"/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219</v>
      </c>
      <c r="D74" s="13" t="s">
        <v>239</v>
      </c>
    </row>
    <row r="75" spans="1:6" x14ac:dyDescent="0.25">
      <c r="B75" s="15" t="s">
        <v>72</v>
      </c>
      <c r="C75" s="22" t="s">
        <v>237</v>
      </c>
      <c r="D75" s="26" t="s">
        <v>238</v>
      </c>
    </row>
    <row r="76" spans="1:6" x14ac:dyDescent="0.25">
      <c r="B76" s="16" t="s">
        <v>109</v>
      </c>
      <c r="C76" s="21" t="s">
        <v>213</v>
      </c>
      <c r="D76" s="26"/>
      <c r="E76" s="11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6"/>
  <sheetViews>
    <sheetView topLeftCell="A25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256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2</v>
      </c>
      <c r="K3" s="87">
        <f t="shared" ref="K3:K13" si="0">((I3-J3)/I3)</f>
        <v>0.77777777777777779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2</v>
      </c>
      <c r="K4" s="88">
        <f t="shared" si="0"/>
        <v>0.93939393939393945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0</v>
      </c>
      <c r="K6" s="88">
        <f>((I6-J6)/I6)</f>
        <v>1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0</v>
      </c>
      <c r="K7" s="89">
        <f t="shared" si="0"/>
        <v>1</v>
      </c>
    </row>
    <row r="8" spans="1:11" x14ac:dyDescent="0.25">
      <c r="A8" s="63">
        <v>6</v>
      </c>
      <c r="B8" s="66" t="s">
        <v>87</v>
      </c>
      <c r="C8" s="42" t="s">
        <v>75</v>
      </c>
      <c r="D8" s="30" t="s">
        <v>73</v>
      </c>
      <c r="E8" s="3"/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5</v>
      </c>
      <c r="K16" s="101">
        <f>((I16-J16)/I16)</f>
        <v>0.9242424242424242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17" t="s">
        <v>74</v>
      </c>
      <c r="E18" s="5" t="s">
        <v>240</v>
      </c>
      <c r="F18" s="7" t="s">
        <v>243</v>
      </c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 t="s">
        <v>257</v>
      </c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 t="s">
        <v>258</v>
      </c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17" t="s">
        <v>74</v>
      </c>
      <c r="E25" s="5" t="s">
        <v>242</v>
      </c>
      <c r="F25" s="7" t="s">
        <v>243</v>
      </c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30" t="s">
        <v>73</v>
      </c>
      <c r="E27" s="5"/>
      <c r="F27" s="7"/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 t="s">
        <v>259</v>
      </c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30" t="s">
        <v>73</v>
      </c>
      <c r="E30" s="5"/>
      <c r="F30" s="7"/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 t="s">
        <v>260</v>
      </c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/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/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/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/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17" t="s">
        <v>74</v>
      </c>
      <c r="E40" s="5" t="s">
        <v>253</v>
      </c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30" t="s">
        <v>73</v>
      </c>
      <c r="E41" s="5"/>
      <c r="F41" s="7"/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 t="s">
        <v>261</v>
      </c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 t="s">
        <v>262</v>
      </c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30" t="s">
        <v>73</v>
      </c>
      <c r="E50" s="5" t="s">
        <v>263</v>
      </c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17" t="s">
        <v>74</v>
      </c>
      <c r="E51" s="5" t="s">
        <v>247</v>
      </c>
      <c r="F51" s="7" t="s">
        <v>268</v>
      </c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 t="s">
        <v>266</v>
      </c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8" t="s">
        <v>267</v>
      </c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30" t="s">
        <v>73</v>
      </c>
      <c r="E60" s="5"/>
      <c r="F60" s="7"/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30" t="s">
        <v>73</v>
      </c>
      <c r="E62" s="5"/>
      <c r="F62" s="7"/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/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219</v>
      </c>
      <c r="D74" s="13" t="s">
        <v>220</v>
      </c>
    </row>
    <row r="75" spans="1:6" x14ac:dyDescent="0.25">
      <c r="B75" s="15" t="s">
        <v>72</v>
      </c>
      <c r="C75" s="22" t="s">
        <v>222</v>
      </c>
      <c r="D75" s="26" t="s">
        <v>226</v>
      </c>
    </row>
    <row r="76" spans="1:6" x14ac:dyDescent="0.25">
      <c r="B76" s="16" t="s">
        <v>109</v>
      </c>
      <c r="C76" s="21" t="s">
        <v>213</v>
      </c>
      <c r="D76" s="26"/>
      <c r="E7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6"/>
  <sheetViews>
    <sheetView topLeftCell="A40" workbookViewId="0">
      <selection activeCell="E55" sqref="E55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269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2</v>
      </c>
      <c r="K3" s="87">
        <f t="shared" ref="K3:K13" si="0">((I3-J3)/I3)</f>
        <v>0.77777777777777779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2</v>
      </c>
      <c r="K4" s="88">
        <f t="shared" si="0"/>
        <v>0.93939393939393945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0</v>
      </c>
      <c r="K7" s="89">
        <f t="shared" si="0"/>
        <v>1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279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6</v>
      </c>
      <c r="K16" s="101">
        <f>((I16-J16)/I16)</f>
        <v>0.90909090909090906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17" t="s">
        <v>74</v>
      </c>
      <c r="E18" s="5" t="s">
        <v>240</v>
      </c>
      <c r="F18" s="7" t="s">
        <v>243</v>
      </c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 t="s">
        <v>277</v>
      </c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/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 t="s">
        <v>276</v>
      </c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17" t="s">
        <v>74</v>
      </c>
      <c r="E25" s="5" t="s">
        <v>242</v>
      </c>
      <c r="F25" s="7" t="s">
        <v>243</v>
      </c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30" t="s">
        <v>73</v>
      </c>
      <c r="E27" s="5"/>
      <c r="F27" s="7"/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30" t="s">
        <v>73</v>
      </c>
      <c r="E30" s="5"/>
      <c r="F30" s="7"/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/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/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 t="s">
        <v>275</v>
      </c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/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/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 t="s">
        <v>274</v>
      </c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17" t="s">
        <v>74</v>
      </c>
      <c r="E40" s="5" t="s">
        <v>253</v>
      </c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30" t="s">
        <v>73</v>
      </c>
      <c r="E41" s="5"/>
      <c r="F41" s="7"/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 t="s">
        <v>273</v>
      </c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/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30" t="s">
        <v>73</v>
      </c>
      <c r="E50" s="5"/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17" t="s">
        <v>74</v>
      </c>
      <c r="E51" s="5" t="s">
        <v>247</v>
      </c>
      <c r="F51" s="7" t="s">
        <v>268</v>
      </c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 t="s">
        <v>271</v>
      </c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8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 t="s">
        <v>270</v>
      </c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30" t="s">
        <v>73</v>
      </c>
      <c r="E60" s="5"/>
      <c r="F60" s="7"/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30" t="s">
        <v>73</v>
      </c>
      <c r="E62" s="5"/>
      <c r="F62" s="7"/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 t="s">
        <v>289</v>
      </c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 t="s">
        <v>272</v>
      </c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219</v>
      </c>
      <c r="D74" s="13" t="s">
        <v>220</v>
      </c>
    </row>
    <row r="75" spans="1:6" x14ac:dyDescent="0.25">
      <c r="B75" s="15" t="s">
        <v>72</v>
      </c>
      <c r="C75" s="22" t="s">
        <v>237</v>
      </c>
      <c r="D75" s="26" t="s">
        <v>278</v>
      </c>
    </row>
    <row r="76" spans="1:6" x14ac:dyDescent="0.25">
      <c r="B76" s="16" t="s">
        <v>109</v>
      </c>
      <c r="C76" s="21" t="s">
        <v>213</v>
      </c>
      <c r="D76" s="26"/>
      <c r="E76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6"/>
  <sheetViews>
    <sheetView topLeftCell="A37"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280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2</v>
      </c>
      <c r="K3" s="87">
        <f t="shared" ref="K3:K13" si="0">((I3-J3)/I3)</f>
        <v>0.77777777777777779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2</v>
      </c>
      <c r="K4" s="88">
        <f t="shared" si="0"/>
        <v>0.93939393939393945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0</v>
      </c>
      <c r="K7" s="89">
        <f t="shared" si="0"/>
        <v>1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281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6</v>
      </c>
      <c r="K16" s="101">
        <f>((I16-J16)/I16)</f>
        <v>0.90909090909090906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17" t="s">
        <v>74</v>
      </c>
      <c r="E18" s="5" t="s">
        <v>240</v>
      </c>
      <c r="F18" s="7" t="s">
        <v>243</v>
      </c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 t="s">
        <v>282</v>
      </c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/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17" t="s">
        <v>74</v>
      </c>
      <c r="E25" s="5" t="s">
        <v>242</v>
      </c>
      <c r="F25" s="7" t="s">
        <v>243</v>
      </c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30" t="s">
        <v>73</v>
      </c>
      <c r="E27" s="5" t="s">
        <v>283</v>
      </c>
      <c r="F27" s="7"/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30" t="s">
        <v>73</v>
      </c>
      <c r="E30" s="5"/>
      <c r="F30" s="7"/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/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/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 t="s">
        <v>275</v>
      </c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 t="s">
        <v>284</v>
      </c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 t="s">
        <v>285</v>
      </c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 t="s">
        <v>274</v>
      </c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17" t="s">
        <v>74</v>
      </c>
      <c r="E40" s="5" t="s">
        <v>286</v>
      </c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30" t="s">
        <v>73</v>
      </c>
      <c r="E41" s="5"/>
      <c r="F41" s="7"/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 t="s">
        <v>287</v>
      </c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 t="s">
        <v>273</v>
      </c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/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30" t="s">
        <v>73</v>
      </c>
      <c r="E50" s="5"/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17" t="s">
        <v>74</v>
      </c>
      <c r="E51" s="5" t="s">
        <v>247</v>
      </c>
      <c r="F51" s="7" t="s">
        <v>268</v>
      </c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 t="s">
        <v>271</v>
      </c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8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 t="s">
        <v>290</v>
      </c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30" t="s">
        <v>73</v>
      </c>
      <c r="E60" s="5"/>
      <c r="F60" s="7"/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30" t="s">
        <v>73</v>
      </c>
      <c r="E62" s="5"/>
      <c r="F62" s="7"/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 t="s">
        <v>288</v>
      </c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/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291</v>
      </c>
      <c r="D74" s="13" t="s">
        <v>220</v>
      </c>
    </row>
    <row r="75" spans="1:6" x14ac:dyDescent="0.25">
      <c r="B75" s="15" t="s">
        <v>72</v>
      </c>
      <c r="C75" s="22" t="s">
        <v>222</v>
      </c>
      <c r="D75" s="26" t="s">
        <v>226</v>
      </c>
    </row>
    <row r="76" spans="1:6" x14ac:dyDescent="0.25">
      <c r="B76" s="16" t="s">
        <v>109</v>
      </c>
      <c r="C76" s="21" t="s">
        <v>213</v>
      </c>
      <c r="D76" s="26"/>
      <c r="E76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6"/>
  <sheetViews>
    <sheetView topLeftCell="B1" workbookViewId="0">
      <selection activeCell="B1"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307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 t="s">
        <v>292</v>
      </c>
      <c r="F3" s="20"/>
      <c r="H3" s="31" t="s">
        <v>112</v>
      </c>
      <c r="I3" s="79">
        <v>9</v>
      </c>
      <c r="J3" s="79">
        <v>2</v>
      </c>
      <c r="K3" s="87">
        <f t="shared" ref="K3:K13" si="0">((I3-J3)/I3)</f>
        <v>0.77777777777777779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0</v>
      </c>
      <c r="K4" s="88">
        <f t="shared" si="0"/>
        <v>1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 t="s">
        <v>293</v>
      </c>
      <c r="F7" s="7"/>
      <c r="H7" s="32" t="s">
        <v>113</v>
      </c>
      <c r="I7" s="81">
        <v>4</v>
      </c>
      <c r="J7" s="81">
        <v>0</v>
      </c>
      <c r="K7" s="89">
        <f t="shared" si="0"/>
        <v>1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281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 t="s">
        <v>294</v>
      </c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 t="s">
        <v>295</v>
      </c>
      <c r="F16" s="7"/>
      <c r="H16" s="99" t="s">
        <v>122</v>
      </c>
      <c r="I16" s="100">
        <f>SUM(I3:I15)</f>
        <v>66</v>
      </c>
      <c r="J16" s="100">
        <f>SUM(J3:J15)</f>
        <v>4</v>
      </c>
      <c r="K16" s="101">
        <f>((I16-J16)/I16)</f>
        <v>0.93939393939393945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17" t="s">
        <v>74</v>
      </c>
      <c r="E18" s="5" t="s">
        <v>240</v>
      </c>
      <c r="F18" s="7" t="s">
        <v>306</v>
      </c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 t="s">
        <v>296</v>
      </c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30" t="s">
        <v>73</v>
      </c>
      <c r="E25" s="5" t="s">
        <v>297</v>
      </c>
      <c r="F25" s="7"/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30" t="s">
        <v>73</v>
      </c>
      <c r="E27" s="5" t="s">
        <v>283</v>
      </c>
      <c r="F27" s="7"/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30" t="s">
        <v>73</v>
      </c>
      <c r="E30" s="5" t="s">
        <v>296</v>
      </c>
      <c r="F30" s="7"/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/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 t="s">
        <v>298</v>
      </c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/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 t="s">
        <v>299</v>
      </c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 t="s">
        <v>274</v>
      </c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30" t="s">
        <v>73</v>
      </c>
      <c r="E40" s="5" t="s">
        <v>286</v>
      </c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30" t="s">
        <v>73</v>
      </c>
      <c r="E41" s="5"/>
      <c r="F41" s="7"/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 t="s">
        <v>300</v>
      </c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 t="s">
        <v>301</v>
      </c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 t="s">
        <v>302</v>
      </c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/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30" t="s">
        <v>73</v>
      </c>
      <c r="E50" s="5"/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30" t="s">
        <v>73</v>
      </c>
      <c r="E51" s="5" t="s">
        <v>304</v>
      </c>
      <c r="F51" s="7"/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114" t="s">
        <v>308</v>
      </c>
      <c r="E53" s="5"/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8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30" t="s">
        <v>73</v>
      </c>
      <c r="E60" s="5"/>
      <c r="F60" s="7"/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17" t="s">
        <v>74</v>
      </c>
      <c r="E62" s="5" t="s">
        <v>240</v>
      </c>
      <c r="F62" s="7"/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 t="s">
        <v>303</v>
      </c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219</v>
      </c>
      <c r="D74" s="13" t="s">
        <v>220</v>
      </c>
    </row>
    <row r="75" spans="1:6" x14ac:dyDescent="0.25">
      <c r="B75" s="15" t="s">
        <v>72</v>
      </c>
      <c r="C75" s="22" t="s">
        <v>222</v>
      </c>
      <c r="D75" s="26" t="s">
        <v>226</v>
      </c>
    </row>
    <row r="76" spans="1:6" x14ac:dyDescent="0.25">
      <c r="B76" s="16" t="s">
        <v>109</v>
      </c>
      <c r="C76" s="21" t="s">
        <v>305</v>
      </c>
      <c r="D76" s="26"/>
      <c r="E76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6"/>
  <sheetViews>
    <sheetView topLeftCell="A25" workbookViewId="0">
      <selection activeCell="E39" sqref="E39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309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1</v>
      </c>
      <c r="K3" s="87">
        <f t="shared" ref="K3:K13" si="0">((I3-J3)/I3)</f>
        <v>0.88888888888888884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0</v>
      </c>
      <c r="K4" s="88">
        <f t="shared" si="0"/>
        <v>1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0</v>
      </c>
      <c r="K7" s="89">
        <f t="shared" si="0"/>
        <v>1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310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 t="s">
        <v>311</v>
      </c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3</v>
      </c>
      <c r="K16" s="101">
        <f>((I16-J16)/I16)</f>
        <v>0.95454545454545459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30" t="s">
        <v>73</v>
      </c>
      <c r="E18" s="5" t="s">
        <v>312</v>
      </c>
      <c r="F18" s="7"/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/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30" t="s">
        <v>73</v>
      </c>
      <c r="E25" s="5"/>
      <c r="F25" s="7"/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30" t="s">
        <v>73</v>
      </c>
      <c r="E27" s="5" t="s">
        <v>313</v>
      </c>
      <c r="F27" s="7"/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30" t="s">
        <v>73</v>
      </c>
      <c r="E30" s="5"/>
      <c r="F30" s="7"/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/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/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/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 t="s">
        <v>314</v>
      </c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/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30" t="s">
        <v>73</v>
      </c>
      <c r="E40" s="5"/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30" t="s">
        <v>73</v>
      </c>
      <c r="E41" s="5"/>
      <c r="F41" s="7"/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 t="s">
        <v>315</v>
      </c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 t="s">
        <v>323</v>
      </c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 t="s">
        <v>316</v>
      </c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30" t="s">
        <v>73</v>
      </c>
      <c r="E50" s="5"/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30" t="s">
        <v>73</v>
      </c>
      <c r="E51" s="5"/>
      <c r="F51" s="7"/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/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114" t="s">
        <v>308</v>
      </c>
      <c r="E54" s="115" t="s">
        <v>317</v>
      </c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 t="s">
        <v>319</v>
      </c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114" t="s">
        <v>308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30" t="s">
        <v>73</v>
      </c>
      <c r="E60" s="5"/>
      <c r="F60" s="7"/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17" t="s">
        <v>74</v>
      </c>
      <c r="E62" s="5" t="s">
        <v>240</v>
      </c>
      <c r="F62" s="7" t="s">
        <v>318</v>
      </c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/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291</v>
      </c>
      <c r="D74" s="13" t="s">
        <v>320</v>
      </c>
    </row>
    <row r="75" spans="1:6" x14ac:dyDescent="0.25">
      <c r="B75" s="15" t="s">
        <v>72</v>
      </c>
      <c r="C75" s="22" t="s">
        <v>237</v>
      </c>
      <c r="D75" s="26" t="s">
        <v>321</v>
      </c>
    </row>
    <row r="76" spans="1:6" x14ac:dyDescent="0.25">
      <c r="B76" s="16" t="s">
        <v>109</v>
      </c>
      <c r="C76" s="21" t="s">
        <v>305</v>
      </c>
      <c r="D76" s="26"/>
      <c r="E76" s="1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322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1</v>
      </c>
      <c r="K3" s="87">
        <f t="shared" ref="K3:K13" si="0">((I3-J3)/I3)</f>
        <v>0.88888888888888884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2</v>
      </c>
      <c r="K4" s="88">
        <f t="shared" si="0"/>
        <v>0.93939393939393945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0</v>
      </c>
      <c r="K7" s="89">
        <f t="shared" si="0"/>
        <v>1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310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5</v>
      </c>
      <c r="K16" s="101">
        <f>((I16-J16)/I16)</f>
        <v>0.9242424242424242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30" t="s">
        <v>73</v>
      </c>
      <c r="E18" s="5"/>
      <c r="F18" s="7"/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/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30" t="s">
        <v>73</v>
      </c>
      <c r="E25" s="5"/>
      <c r="F25" s="7"/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30" t="s">
        <v>73</v>
      </c>
      <c r="E27" s="5" t="s">
        <v>289</v>
      </c>
      <c r="F27" s="7"/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17" t="s">
        <v>74</v>
      </c>
      <c r="E30" s="5" t="s">
        <v>324</v>
      </c>
      <c r="F30" s="7"/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/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 t="s">
        <v>325</v>
      </c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/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/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/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30" t="s">
        <v>73</v>
      </c>
      <c r="E40" s="5"/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17" t="s">
        <v>74</v>
      </c>
      <c r="E41" s="5" t="s">
        <v>326</v>
      </c>
      <c r="F41" s="7"/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/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 t="s">
        <v>327</v>
      </c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30" t="s">
        <v>73</v>
      </c>
      <c r="E50" s="5" t="s">
        <v>328</v>
      </c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30" t="s">
        <v>73</v>
      </c>
      <c r="E51" s="5"/>
      <c r="F51" s="7"/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/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15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114" t="s">
        <v>308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114" t="s">
        <v>308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30" t="s">
        <v>73</v>
      </c>
      <c r="E60" s="5"/>
      <c r="F60" s="7"/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17" t="s">
        <v>74</v>
      </c>
      <c r="E62" s="5" t="s">
        <v>240</v>
      </c>
      <c r="F62" s="7" t="s">
        <v>318</v>
      </c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 t="s">
        <v>329</v>
      </c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/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219</v>
      </c>
      <c r="D74" s="13" t="s">
        <v>320</v>
      </c>
    </row>
    <row r="75" spans="1:6" x14ac:dyDescent="0.25">
      <c r="B75" s="15" t="s">
        <v>72</v>
      </c>
      <c r="C75" s="22" t="s">
        <v>237</v>
      </c>
      <c r="D75" s="26" t="s">
        <v>321</v>
      </c>
    </row>
    <row r="76" spans="1:6" x14ac:dyDescent="0.25">
      <c r="B76" s="16" t="s">
        <v>109</v>
      </c>
      <c r="C76" s="21" t="s">
        <v>305</v>
      </c>
      <c r="D76" s="26"/>
      <c r="E76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330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1</v>
      </c>
      <c r="K3" s="87">
        <f t="shared" ref="K3:K13" si="0">((I3-J3)/I3)</f>
        <v>0.88888888888888884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2</v>
      </c>
      <c r="K4" s="88">
        <f t="shared" si="0"/>
        <v>0.93939393939393945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0</v>
      </c>
      <c r="K7" s="89">
        <f t="shared" si="0"/>
        <v>1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310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5</v>
      </c>
      <c r="K16" s="101">
        <f>((I16-J16)/I16)</f>
        <v>0.9242424242424242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30" t="s">
        <v>73</v>
      </c>
      <c r="E18" s="5"/>
      <c r="F18" s="7"/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/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30" t="s">
        <v>73</v>
      </c>
      <c r="E25" s="5"/>
      <c r="F25" s="7"/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30" t="s">
        <v>73</v>
      </c>
      <c r="E27" s="5" t="s">
        <v>289</v>
      </c>
      <c r="F27" s="7"/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17" t="s">
        <v>74</v>
      </c>
      <c r="E30" s="5" t="s">
        <v>324</v>
      </c>
      <c r="F30" s="7"/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/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 t="s">
        <v>325</v>
      </c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/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/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/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30" t="s">
        <v>73</v>
      </c>
      <c r="E40" s="5"/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17" t="s">
        <v>74</v>
      </c>
      <c r="E41" s="5" t="s">
        <v>326</v>
      </c>
      <c r="F41" s="7"/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/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 t="s">
        <v>327</v>
      </c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30" t="s">
        <v>73</v>
      </c>
      <c r="E50" s="5" t="s">
        <v>328</v>
      </c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30" t="s">
        <v>73</v>
      </c>
      <c r="E51" s="5"/>
      <c r="F51" s="7"/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/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15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114" t="s">
        <v>308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114" t="s">
        <v>308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30" t="s">
        <v>73</v>
      </c>
      <c r="E60" s="5"/>
      <c r="F60" s="7"/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17" t="s">
        <v>74</v>
      </c>
      <c r="E62" s="5" t="s">
        <v>240</v>
      </c>
      <c r="F62" s="7" t="s">
        <v>318</v>
      </c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 t="s">
        <v>329</v>
      </c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/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219</v>
      </c>
      <c r="D74" s="13" t="s">
        <v>320</v>
      </c>
    </row>
    <row r="75" spans="1:6" x14ac:dyDescent="0.25">
      <c r="B75" s="15" t="s">
        <v>72</v>
      </c>
      <c r="C75" s="22" t="s">
        <v>237</v>
      </c>
      <c r="D75" s="26" t="s">
        <v>321</v>
      </c>
    </row>
    <row r="76" spans="1:6" x14ac:dyDescent="0.25">
      <c r="B76" s="16" t="s">
        <v>109</v>
      </c>
      <c r="C76" s="21" t="s">
        <v>305</v>
      </c>
      <c r="D76" s="26"/>
      <c r="E76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331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1</v>
      </c>
      <c r="K3" s="87">
        <f t="shared" ref="K3:K13" si="0">((I3-J3)/I3)</f>
        <v>0.88888888888888884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3</v>
      </c>
      <c r="K4" s="88">
        <f t="shared" si="0"/>
        <v>0.90909090909090906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2</v>
      </c>
      <c r="K7" s="89">
        <f t="shared" si="0"/>
        <v>0.5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310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1</v>
      </c>
      <c r="K9" s="91">
        <f t="shared" si="0"/>
        <v>0.66666666666666663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9</v>
      </c>
      <c r="K16" s="101">
        <f>((I16-J16)/I16)</f>
        <v>0.86363636363636365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30" t="s">
        <v>73</v>
      </c>
      <c r="E18" s="5"/>
      <c r="F18" s="7"/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 t="s">
        <v>332</v>
      </c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30" t="s">
        <v>73</v>
      </c>
      <c r="E25" s="5"/>
      <c r="F25" s="7"/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17" t="s">
        <v>74</v>
      </c>
      <c r="E27" s="5" t="s">
        <v>289</v>
      </c>
      <c r="F27" s="7" t="s">
        <v>333</v>
      </c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17" t="s">
        <v>74</v>
      </c>
      <c r="E30" s="5" t="s">
        <v>334</v>
      </c>
      <c r="F30" s="7" t="s">
        <v>243</v>
      </c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 t="s">
        <v>335</v>
      </c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/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/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/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/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30" t="s">
        <v>73</v>
      </c>
      <c r="E40" s="5"/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17" t="s">
        <v>74</v>
      </c>
      <c r="E41" s="5" t="s">
        <v>336</v>
      </c>
      <c r="F41" s="7" t="s">
        <v>337</v>
      </c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/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 t="s">
        <v>338</v>
      </c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17" t="s">
        <v>74</v>
      </c>
      <c r="E50" s="5" t="s">
        <v>339</v>
      </c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30" t="s">
        <v>73</v>
      </c>
      <c r="E51" s="5"/>
      <c r="F51" s="7"/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 t="s">
        <v>340</v>
      </c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15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17" t="s">
        <v>74</v>
      </c>
      <c r="E56" s="5" t="s">
        <v>341</v>
      </c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 t="s">
        <v>342</v>
      </c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17" t="s">
        <v>74</v>
      </c>
      <c r="E60" s="5" t="s">
        <v>343</v>
      </c>
      <c r="F60" s="7"/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17" t="s">
        <v>74</v>
      </c>
      <c r="E62" s="5" t="s">
        <v>240</v>
      </c>
      <c r="F62" s="7" t="s">
        <v>318</v>
      </c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 t="s">
        <v>344</v>
      </c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/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219</v>
      </c>
      <c r="D74" s="13" t="s">
        <v>320</v>
      </c>
    </row>
    <row r="75" spans="1:6" x14ac:dyDescent="0.25">
      <c r="B75" s="15" t="s">
        <v>72</v>
      </c>
      <c r="C75" s="22" t="s">
        <v>222</v>
      </c>
      <c r="D75" s="26" t="s">
        <v>321</v>
      </c>
    </row>
    <row r="76" spans="1:6" x14ac:dyDescent="0.25">
      <c r="B76" s="16" t="s">
        <v>109</v>
      </c>
      <c r="C76" s="21" t="s">
        <v>305</v>
      </c>
      <c r="D76" s="26"/>
      <c r="E76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6"/>
  <sheetViews>
    <sheetView workbookViewId="0">
      <selection activeCell="E28" sqref="E28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345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1</v>
      </c>
      <c r="K3" s="87">
        <f t="shared" ref="K3:K13" si="0">((I3-J3)/I3)</f>
        <v>0.88888888888888884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5</v>
      </c>
      <c r="K4" s="88">
        <f t="shared" si="0"/>
        <v>0.84848484848484851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1</v>
      </c>
      <c r="K7" s="89">
        <f t="shared" si="0"/>
        <v>0.75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310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1</v>
      </c>
      <c r="K9" s="91">
        <f t="shared" si="0"/>
        <v>0.66666666666666663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2</v>
      </c>
      <c r="K14" s="98">
        <f>((I14-J14)/I14)</f>
        <v>0.6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11</v>
      </c>
      <c r="K16" s="101">
        <f>((I16-J16)/I16)</f>
        <v>0.83333333333333337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17" t="s">
        <v>74</v>
      </c>
      <c r="E18" s="5" t="s">
        <v>350</v>
      </c>
      <c r="F18" s="7"/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 t="s">
        <v>332</v>
      </c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17" t="s">
        <v>74</v>
      </c>
      <c r="E25" s="5" t="s">
        <v>351</v>
      </c>
      <c r="F25" s="7"/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17" t="s">
        <v>74</v>
      </c>
      <c r="E27" s="5" t="s">
        <v>289</v>
      </c>
      <c r="F27" s="7" t="s">
        <v>352</v>
      </c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17" t="s">
        <v>74</v>
      </c>
      <c r="E30" s="5" t="s">
        <v>334</v>
      </c>
      <c r="F30" s="7" t="s">
        <v>243</v>
      </c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 t="s">
        <v>353</v>
      </c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17" t="s">
        <v>74</v>
      </c>
      <c r="E32" s="5" t="s">
        <v>354</v>
      </c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 t="s">
        <v>355</v>
      </c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/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/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30" t="s">
        <v>73</v>
      </c>
      <c r="E40" s="5"/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17" t="s">
        <v>74</v>
      </c>
      <c r="E41" s="5" t="s">
        <v>336</v>
      </c>
      <c r="F41" s="7" t="s">
        <v>337</v>
      </c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/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 t="s">
        <v>356</v>
      </c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 t="s">
        <v>358</v>
      </c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 t="s">
        <v>357</v>
      </c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17" t="s">
        <v>74</v>
      </c>
      <c r="E50" s="5" t="s">
        <v>339</v>
      </c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30" t="s">
        <v>73</v>
      </c>
      <c r="E51" s="5" t="s">
        <v>359</v>
      </c>
      <c r="F51" s="7" t="s">
        <v>360</v>
      </c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/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15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30" t="s">
        <v>73</v>
      </c>
      <c r="E60" s="5"/>
      <c r="F60" s="7"/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17" t="s">
        <v>74</v>
      </c>
      <c r="E62" s="5" t="s">
        <v>240</v>
      </c>
      <c r="F62" s="7" t="s">
        <v>318</v>
      </c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/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346</v>
      </c>
      <c r="D74" s="13" t="s">
        <v>320</v>
      </c>
    </row>
    <row r="75" spans="1:6" x14ac:dyDescent="0.25">
      <c r="B75" s="15" t="s">
        <v>72</v>
      </c>
      <c r="C75" s="22" t="s">
        <v>347</v>
      </c>
      <c r="D75" s="26" t="s">
        <v>349</v>
      </c>
    </row>
    <row r="76" spans="1:6" x14ac:dyDescent="0.25">
      <c r="B76" s="16" t="s">
        <v>109</v>
      </c>
      <c r="C76" s="21" t="s">
        <v>348</v>
      </c>
      <c r="D76" s="26"/>
      <c r="E76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76"/>
  <sheetViews>
    <sheetView topLeftCell="A4" workbookViewId="0">
      <selection activeCell="E20" sqref="E20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361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2</v>
      </c>
      <c r="K3" s="87">
        <f t="shared" ref="K3:K13" si="0">((I3-J3)/I3)</f>
        <v>0.77777777777777779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 t="s">
        <v>362</v>
      </c>
      <c r="F4" s="7"/>
      <c r="H4" s="39" t="s">
        <v>117</v>
      </c>
      <c r="I4" s="80">
        <v>33</v>
      </c>
      <c r="J4" s="80">
        <v>4</v>
      </c>
      <c r="K4" s="88">
        <f t="shared" si="0"/>
        <v>0.87878787878787878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2</v>
      </c>
      <c r="K7" s="89">
        <f t="shared" si="0"/>
        <v>0.5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310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2</v>
      </c>
      <c r="K14" s="98">
        <f>((I14-J14)/I14)</f>
        <v>0.6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11</v>
      </c>
      <c r="K16" s="101">
        <f>((I16-J16)/I16)</f>
        <v>0.83333333333333337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17" t="s">
        <v>74</v>
      </c>
      <c r="E18" s="5" t="s">
        <v>350</v>
      </c>
      <c r="F18" s="7"/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/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 t="s">
        <v>363</v>
      </c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 t="s">
        <v>364</v>
      </c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17" t="s">
        <v>74</v>
      </c>
      <c r="E25" s="5" t="s">
        <v>351</v>
      </c>
      <c r="F25" s="7"/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17" t="s">
        <v>74</v>
      </c>
      <c r="E27" s="5" t="s">
        <v>289</v>
      </c>
      <c r="F27" s="7" t="s">
        <v>352</v>
      </c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17" t="s">
        <v>74</v>
      </c>
      <c r="E30" s="5" t="s">
        <v>334</v>
      </c>
      <c r="F30" s="7" t="s">
        <v>243</v>
      </c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 t="s">
        <v>366</v>
      </c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/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 t="s">
        <v>367</v>
      </c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/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 t="s">
        <v>368</v>
      </c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/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30" t="s">
        <v>73</v>
      </c>
      <c r="E40" s="5"/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17" t="s">
        <v>74</v>
      </c>
      <c r="E41" s="5" t="s">
        <v>336</v>
      </c>
      <c r="F41" s="7" t="s">
        <v>337</v>
      </c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 t="s">
        <v>369</v>
      </c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/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17" t="s">
        <v>74</v>
      </c>
      <c r="E50" s="5" t="s">
        <v>339</v>
      </c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17" t="s">
        <v>74</v>
      </c>
      <c r="E51" s="5" t="s">
        <v>359</v>
      </c>
      <c r="F51" s="7" t="s">
        <v>370</v>
      </c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/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15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 t="s">
        <v>371</v>
      </c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 t="s">
        <v>372</v>
      </c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17" t="s">
        <v>74</v>
      </c>
      <c r="E60" s="5" t="s">
        <v>374</v>
      </c>
      <c r="F60" s="7" t="s">
        <v>373</v>
      </c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17" t="s">
        <v>74</v>
      </c>
      <c r="E62" s="5" t="s">
        <v>240</v>
      </c>
      <c r="F62" s="7" t="s">
        <v>318</v>
      </c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/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291</v>
      </c>
      <c r="D74" s="13" t="s">
        <v>375</v>
      </c>
    </row>
    <row r="75" spans="1:6" x14ac:dyDescent="0.25">
      <c r="B75" s="15" t="s">
        <v>72</v>
      </c>
      <c r="C75" s="22" t="s">
        <v>237</v>
      </c>
      <c r="D75" s="26" t="s">
        <v>349</v>
      </c>
    </row>
    <row r="76" spans="1:6" x14ac:dyDescent="0.25">
      <c r="B76" s="16" t="s">
        <v>109</v>
      </c>
      <c r="C76" s="21" t="s">
        <v>348</v>
      </c>
      <c r="D76" s="26"/>
      <c r="E76" s="11"/>
    </row>
  </sheetData>
  <pageMargins left="0.7" right="0.7" top="0.75" bottom="0.75" header="0.3" footer="0.3"/>
  <pageSetup paperSize="9" scale="44" fitToWidth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6"/>
  <sheetViews>
    <sheetView topLeftCell="A28" workbookViewId="0">
      <selection activeCell="E77" sqref="E77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376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2</v>
      </c>
      <c r="K3" s="87">
        <f t="shared" ref="K3:K13" si="0">((I3-J3)/I3)</f>
        <v>0.77777777777777779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4</v>
      </c>
      <c r="K4" s="88">
        <f t="shared" si="0"/>
        <v>0.87878787878787878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2</v>
      </c>
      <c r="K7" s="89">
        <f t="shared" si="0"/>
        <v>0.5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310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3</v>
      </c>
      <c r="K14" s="98">
        <f>((I14-J14)/I14)</f>
        <v>0.4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12</v>
      </c>
      <c r="K16" s="101">
        <f>((I16-J16)/I16)</f>
        <v>0.81818181818181823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17" t="s">
        <v>74</v>
      </c>
      <c r="E18" s="5" t="s">
        <v>350</v>
      </c>
      <c r="F18" s="7"/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30" t="s">
        <v>73</v>
      </c>
      <c r="E21" s="5"/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/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17" t="s">
        <v>74</v>
      </c>
      <c r="E25" s="5" t="s">
        <v>351</v>
      </c>
      <c r="F25" s="7" t="s">
        <v>365</v>
      </c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17" t="s">
        <v>74</v>
      </c>
      <c r="E27" s="5" t="s">
        <v>289</v>
      </c>
      <c r="F27" s="7" t="s">
        <v>352</v>
      </c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/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17" t="s">
        <v>74</v>
      </c>
      <c r="E30" s="5" t="s">
        <v>334</v>
      </c>
      <c r="F30" s="7" t="s">
        <v>243</v>
      </c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 t="s">
        <v>377</v>
      </c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30" t="s">
        <v>73</v>
      </c>
      <c r="E32" s="5"/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 t="s">
        <v>378</v>
      </c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/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/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30" t="s">
        <v>73</v>
      </c>
      <c r="E40" s="5"/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17" t="s">
        <v>74</v>
      </c>
      <c r="E41" s="5" t="s">
        <v>336</v>
      </c>
      <c r="F41" s="7" t="s">
        <v>337</v>
      </c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/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 t="s">
        <v>379</v>
      </c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/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17" t="s">
        <v>74</v>
      </c>
      <c r="E50" s="5" t="s">
        <v>381</v>
      </c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17" t="s">
        <v>74</v>
      </c>
      <c r="E51" s="5" t="s">
        <v>359</v>
      </c>
      <c r="F51" s="7" t="s">
        <v>370</v>
      </c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17" t="s">
        <v>74</v>
      </c>
      <c r="E53" s="5" t="s">
        <v>380</v>
      </c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15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17" t="s">
        <v>74</v>
      </c>
      <c r="E60" s="5" t="s">
        <v>374</v>
      </c>
      <c r="F60" s="7" t="s">
        <v>373</v>
      </c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17" t="s">
        <v>74</v>
      </c>
      <c r="E62" s="5" t="s">
        <v>240</v>
      </c>
      <c r="F62" s="7" t="s">
        <v>318</v>
      </c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/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291</v>
      </c>
      <c r="D74" s="13" t="s">
        <v>375</v>
      </c>
    </row>
    <row r="75" spans="1:6" x14ac:dyDescent="0.25">
      <c r="B75" s="15" t="s">
        <v>72</v>
      </c>
      <c r="C75" s="22" t="s">
        <v>237</v>
      </c>
      <c r="D75" s="26" t="s">
        <v>349</v>
      </c>
    </row>
    <row r="76" spans="1:6" x14ac:dyDescent="0.25">
      <c r="B76" s="16" t="s">
        <v>109</v>
      </c>
      <c r="C76" s="21" t="s">
        <v>348</v>
      </c>
      <c r="D76" s="26" t="s">
        <v>406</v>
      </c>
      <c r="E76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76"/>
  <sheetViews>
    <sheetView workbookViewId="0">
      <selection activeCell="D81" sqref="D81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382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2</v>
      </c>
      <c r="K3" s="87">
        <f t="shared" ref="K3:K13" si="0">((I3-J3)/I3)</f>
        <v>0.77777777777777779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6</v>
      </c>
      <c r="K4" s="88">
        <f t="shared" si="0"/>
        <v>0.81818181818181823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1</v>
      </c>
      <c r="K7" s="89">
        <f t="shared" si="0"/>
        <v>0.75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310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/>
      <c r="F16" s="7"/>
      <c r="H16" s="99" t="s">
        <v>122</v>
      </c>
      <c r="I16" s="100">
        <f>SUM(I3:I15)</f>
        <v>66</v>
      </c>
      <c r="J16" s="100">
        <f>SUM(J3:J15)</f>
        <v>11</v>
      </c>
      <c r="K16" s="101">
        <f>((I16-J16)/I16)</f>
        <v>0.83333333333333337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17" t="s">
        <v>74</v>
      </c>
      <c r="E18" s="5" t="s">
        <v>350</v>
      </c>
      <c r="F18" s="7"/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17" t="s">
        <v>74</v>
      </c>
      <c r="E21" s="5" t="s">
        <v>383</v>
      </c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 t="s">
        <v>384</v>
      </c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/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17" t="s">
        <v>74</v>
      </c>
      <c r="E25" s="5" t="s">
        <v>351</v>
      </c>
      <c r="F25" s="7" t="s">
        <v>365</v>
      </c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17" t="s">
        <v>74</v>
      </c>
      <c r="E27" s="5" t="s">
        <v>289</v>
      </c>
      <c r="F27" s="7" t="s">
        <v>352</v>
      </c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 t="s">
        <v>385</v>
      </c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30" t="s">
        <v>73</v>
      </c>
      <c r="E30" s="5"/>
      <c r="F30" s="7"/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/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17" t="s">
        <v>74</v>
      </c>
      <c r="E32" s="5" t="s">
        <v>387</v>
      </c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 t="s">
        <v>386</v>
      </c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/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 t="s">
        <v>388</v>
      </c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/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/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30" t="s">
        <v>73</v>
      </c>
      <c r="E40" s="5"/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17" t="s">
        <v>74</v>
      </c>
      <c r="E41" s="5" t="s">
        <v>336</v>
      </c>
      <c r="F41" s="7" t="s">
        <v>337</v>
      </c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/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17" t="s">
        <v>74</v>
      </c>
      <c r="E47" s="5" t="s">
        <v>389</v>
      </c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/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30" t="s">
        <v>73</v>
      </c>
      <c r="E50" s="5"/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30" t="s">
        <v>73</v>
      </c>
      <c r="E51" s="5"/>
      <c r="F51" s="7"/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 t="s">
        <v>380</v>
      </c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15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17" t="s">
        <v>74</v>
      </c>
      <c r="E60" s="5" t="s">
        <v>374</v>
      </c>
      <c r="F60" s="7" t="s">
        <v>373</v>
      </c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17" t="s">
        <v>74</v>
      </c>
      <c r="E62" s="5" t="s">
        <v>240</v>
      </c>
      <c r="F62" s="7" t="s">
        <v>318</v>
      </c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 t="s">
        <v>390</v>
      </c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/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291</v>
      </c>
      <c r="D74" s="13" t="s">
        <v>375</v>
      </c>
    </row>
    <row r="75" spans="1:6" x14ac:dyDescent="0.25">
      <c r="B75" s="15" t="s">
        <v>72</v>
      </c>
      <c r="C75" s="22" t="s">
        <v>237</v>
      </c>
      <c r="D75" s="26" t="s">
        <v>349</v>
      </c>
    </row>
    <row r="76" spans="1:6" x14ac:dyDescent="0.25">
      <c r="B76" s="16" t="s">
        <v>109</v>
      </c>
      <c r="C76" s="21" t="s">
        <v>391</v>
      </c>
      <c r="D76" s="26" t="s">
        <v>405</v>
      </c>
      <c r="E76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9A5D-5165-4E7B-9398-55D91245AE11}">
  <dimension ref="A1:K76"/>
  <sheetViews>
    <sheetView tabSelected="1" workbookViewId="0">
      <selection activeCell="C76" sqref="C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4"/>
      <c r="C1" s="2"/>
      <c r="D1" s="4"/>
      <c r="E1" s="10" t="s">
        <v>392</v>
      </c>
    </row>
    <row r="2" spans="1:11" ht="15.75" thickBot="1" x14ac:dyDescent="0.3">
      <c r="A2" s="62" t="s">
        <v>0</v>
      </c>
      <c r="B2" s="103" t="s">
        <v>1</v>
      </c>
      <c r="C2" s="104" t="s">
        <v>2</v>
      </c>
      <c r="D2" s="105" t="s">
        <v>121</v>
      </c>
      <c r="E2" s="106" t="s">
        <v>45</v>
      </c>
      <c r="F2" s="107" t="s">
        <v>102</v>
      </c>
      <c r="H2" s="40"/>
      <c r="I2" s="78" t="s">
        <v>110</v>
      </c>
      <c r="J2" s="37" t="s">
        <v>111</v>
      </c>
      <c r="K2" s="38" t="s">
        <v>120</v>
      </c>
    </row>
    <row r="3" spans="1:11" x14ac:dyDescent="0.25">
      <c r="A3" s="108">
        <v>1</v>
      </c>
      <c r="B3" s="74" t="s">
        <v>84</v>
      </c>
      <c r="C3" s="41" t="s">
        <v>66</v>
      </c>
      <c r="D3" s="45" t="s">
        <v>73</v>
      </c>
      <c r="E3" s="19"/>
      <c r="F3" s="20"/>
      <c r="H3" s="31" t="s">
        <v>112</v>
      </c>
      <c r="I3" s="79">
        <v>9</v>
      </c>
      <c r="J3" s="79">
        <v>2</v>
      </c>
      <c r="K3" s="87">
        <f t="shared" ref="K3:K13" si="0">((I3-J3)/I3)</f>
        <v>0.77777777777777779</v>
      </c>
    </row>
    <row r="4" spans="1:11" x14ac:dyDescent="0.25">
      <c r="A4" s="63">
        <v>2</v>
      </c>
      <c r="B4" s="65" t="s">
        <v>84</v>
      </c>
      <c r="C4" s="43" t="s">
        <v>67</v>
      </c>
      <c r="D4" s="30" t="s">
        <v>73</v>
      </c>
      <c r="E4" s="5"/>
      <c r="F4" s="7"/>
      <c r="H4" s="39" t="s">
        <v>117</v>
      </c>
      <c r="I4" s="80">
        <v>33</v>
      </c>
      <c r="J4" s="80">
        <v>4</v>
      </c>
      <c r="K4" s="88">
        <f t="shared" si="0"/>
        <v>0.87878787878787878</v>
      </c>
    </row>
    <row r="5" spans="1:11" x14ac:dyDescent="0.25">
      <c r="A5" s="63">
        <v>3</v>
      </c>
      <c r="B5" s="65" t="s">
        <v>103</v>
      </c>
      <c r="C5" s="43" t="s">
        <v>104</v>
      </c>
      <c r="D5" s="30" t="s">
        <v>73</v>
      </c>
      <c r="E5" s="5"/>
      <c r="F5" s="7"/>
      <c r="H5" s="39" t="s">
        <v>116</v>
      </c>
      <c r="I5" s="80">
        <v>2</v>
      </c>
      <c r="J5" s="80">
        <v>0</v>
      </c>
      <c r="K5" s="88">
        <f t="shared" si="0"/>
        <v>1</v>
      </c>
    </row>
    <row r="6" spans="1:11" x14ac:dyDescent="0.25">
      <c r="A6" s="63">
        <v>4</v>
      </c>
      <c r="B6" s="65" t="s">
        <v>105</v>
      </c>
      <c r="C6" s="43" t="s">
        <v>106</v>
      </c>
      <c r="D6" s="30" t="s">
        <v>73</v>
      </c>
      <c r="E6" s="5"/>
      <c r="F6" s="7"/>
      <c r="H6" s="39" t="s">
        <v>115</v>
      </c>
      <c r="I6" s="80">
        <v>2</v>
      </c>
      <c r="J6" s="80">
        <v>1</v>
      </c>
      <c r="K6" s="88">
        <f>((I6-J6)/I6)</f>
        <v>0.5</v>
      </c>
    </row>
    <row r="7" spans="1:11" x14ac:dyDescent="0.25">
      <c r="A7" s="63">
        <v>5</v>
      </c>
      <c r="B7" s="65" t="s">
        <v>86</v>
      </c>
      <c r="C7" s="43" t="s">
        <v>83</v>
      </c>
      <c r="D7" s="30" t="s">
        <v>73</v>
      </c>
      <c r="E7" s="5"/>
      <c r="F7" s="7"/>
      <c r="H7" s="32" t="s">
        <v>113</v>
      </c>
      <c r="I7" s="81">
        <v>4</v>
      </c>
      <c r="J7" s="81">
        <v>1</v>
      </c>
      <c r="K7" s="89">
        <f t="shared" si="0"/>
        <v>0.75</v>
      </c>
    </row>
    <row r="8" spans="1:11" x14ac:dyDescent="0.25">
      <c r="A8" s="63">
        <v>6</v>
      </c>
      <c r="B8" s="66" t="s">
        <v>87</v>
      </c>
      <c r="C8" s="42" t="s">
        <v>75</v>
      </c>
      <c r="D8" s="17" t="s">
        <v>74</v>
      </c>
      <c r="E8" s="3" t="s">
        <v>310</v>
      </c>
      <c r="F8" s="6"/>
      <c r="H8" s="33" t="s">
        <v>114</v>
      </c>
      <c r="I8" s="82">
        <v>1</v>
      </c>
      <c r="J8" s="82">
        <v>0</v>
      </c>
      <c r="K8" s="90">
        <f t="shared" si="0"/>
        <v>1</v>
      </c>
    </row>
    <row r="9" spans="1:11" x14ac:dyDescent="0.25">
      <c r="A9" s="63">
        <v>7</v>
      </c>
      <c r="B9" s="66" t="s">
        <v>8</v>
      </c>
      <c r="C9" s="42" t="s">
        <v>9</v>
      </c>
      <c r="D9" s="30" t="s">
        <v>73</v>
      </c>
      <c r="E9" s="3"/>
      <c r="F9" s="6"/>
      <c r="H9" s="34" t="s">
        <v>4</v>
      </c>
      <c r="I9" s="83">
        <v>3</v>
      </c>
      <c r="J9" s="95">
        <v>0</v>
      </c>
      <c r="K9" s="91">
        <f t="shared" si="0"/>
        <v>1</v>
      </c>
    </row>
    <row r="10" spans="1:11" x14ac:dyDescent="0.25">
      <c r="A10" s="63">
        <v>8</v>
      </c>
      <c r="B10" s="66" t="s">
        <v>88</v>
      </c>
      <c r="C10" s="42" t="s">
        <v>10</v>
      </c>
      <c r="D10" s="17" t="s">
        <v>74</v>
      </c>
      <c r="E10" s="5" t="s">
        <v>221</v>
      </c>
      <c r="F10" s="6" t="s">
        <v>216</v>
      </c>
      <c r="H10" s="35" t="s">
        <v>5</v>
      </c>
      <c r="I10" s="84">
        <v>1</v>
      </c>
      <c r="J10" s="84">
        <v>0</v>
      </c>
      <c r="K10" s="92">
        <f t="shared" si="0"/>
        <v>1</v>
      </c>
    </row>
    <row r="11" spans="1:11" x14ac:dyDescent="0.25">
      <c r="A11" s="63">
        <v>9</v>
      </c>
      <c r="B11" s="66" t="s">
        <v>76</v>
      </c>
      <c r="C11" s="42" t="s">
        <v>11</v>
      </c>
      <c r="D11" s="30" t="s">
        <v>73</v>
      </c>
      <c r="E11" s="5"/>
      <c r="F11" s="6"/>
      <c r="H11" s="36" t="s">
        <v>119</v>
      </c>
      <c r="I11" s="85">
        <v>1</v>
      </c>
      <c r="J11" s="96">
        <v>0</v>
      </c>
      <c r="K11" s="93">
        <f t="shared" si="0"/>
        <v>1</v>
      </c>
    </row>
    <row r="12" spans="1:11" x14ac:dyDescent="0.25">
      <c r="A12" s="63">
        <v>10</v>
      </c>
      <c r="B12" s="67" t="s">
        <v>85</v>
      </c>
      <c r="C12" s="42" t="s">
        <v>12</v>
      </c>
      <c r="D12" s="30" t="s">
        <v>73</v>
      </c>
      <c r="E12" s="5"/>
      <c r="F12" s="7"/>
      <c r="H12" s="36" t="s">
        <v>118</v>
      </c>
      <c r="I12" s="85">
        <v>2</v>
      </c>
      <c r="J12" s="96">
        <v>0</v>
      </c>
      <c r="K12" s="93">
        <f t="shared" si="0"/>
        <v>1</v>
      </c>
    </row>
    <row r="13" spans="1:11" x14ac:dyDescent="0.25">
      <c r="A13" s="63">
        <v>11</v>
      </c>
      <c r="B13" s="66" t="s">
        <v>6</v>
      </c>
      <c r="C13" s="42" t="s">
        <v>13</v>
      </c>
      <c r="D13" s="30" t="s">
        <v>73</v>
      </c>
      <c r="E13" s="5"/>
      <c r="F13" s="7"/>
      <c r="H13" s="77" t="s">
        <v>3</v>
      </c>
      <c r="I13" s="86">
        <v>2</v>
      </c>
      <c r="J13" s="86">
        <v>0</v>
      </c>
      <c r="K13" s="94">
        <f t="shared" si="0"/>
        <v>1</v>
      </c>
    </row>
    <row r="14" spans="1:11" x14ac:dyDescent="0.25">
      <c r="A14" s="63">
        <v>12</v>
      </c>
      <c r="B14" s="66" t="s">
        <v>89</v>
      </c>
      <c r="C14" s="42" t="s">
        <v>14</v>
      </c>
      <c r="D14" s="30" t="s">
        <v>73</v>
      </c>
      <c r="E14" s="5"/>
      <c r="F14" s="7"/>
      <c r="H14" s="102" t="s">
        <v>218</v>
      </c>
      <c r="I14" s="97">
        <v>5</v>
      </c>
      <c r="J14" s="97">
        <v>1</v>
      </c>
      <c r="K14" s="98">
        <f>((I14-J14)/I14)</f>
        <v>0.8</v>
      </c>
    </row>
    <row r="15" spans="1:11" ht="15.75" thickBot="1" x14ac:dyDescent="0.3">
      <c r="A15" s="63">
        <v>13</v>
      </c>
      <c r="B15" s="66" t="s">
        <v>77</v>
      </c>
      <c r="C15" s="42" t="s">
        <v>15</v>
      </c>
      <c r="D15" s="30" t="s">
        <v>73</v>
      </c>
      <c r="E15" s="5"/>
      <c r="F15" s="7"/>
      <c r="G15" s="76"/>
      <c r="H15" s="77" t="s">
        <v>236</v>
      </c>
      <c r="I15" s="86">
        <v>1</v>
      </c>
      <c r="J15" s="86">
        <v>0</v>
      </c>
      <c r="K15" s="94">
        <f t="shared" ref="K15" si="1">((I15-J15)/I15)</f>
        <v>1</v>
      </c>
    </row>
    <row r="16" spans="1:11" ht="15.75" thickBot="1" x14ac:dyDescent="0.3">
      <c r="A16" s="63">
        <v>14</v>
      </c>
      <c r="B16" s="65" t="s">
        <v>84</v>
      </c>
      <c r="C16" s="42" t="s">
        <v>16</v>
      </c>
      <c r="D16" s="30" t="s">
        <v>73</v>
      </c>
      <c r="E16" s="5" t="s">
        <v>393</v>
      </c>
      <c r="F16" s="7"/>
      <c r="H16" s="99" t="s">
        <v>122</v>
      </c>
      <c r="I16" s="100">
        <f>SUM(I3:I15)</f>
        <v>66</v>
      </c>
      <c r="J16" s="100">
        <f>SUM(J3:J15)</f>
        <v>9</v>
      </c>
      <c r="K16" s="101">
        <f>((I16-J16)/I16)</f>
        <v>0.86363636363636365</v>
      </c>
    </row>
    <row r="17" spans="1:6" x14ac:dyDescent="0.25">
      <c r="A17" s="63">
        <v>15</v>
      </c>
      <c r="B17" s="67" t="s">
        <v>85</v>
      </c>
      <c r="C17" s="42" t="s">
        <v>21</v>
      </c>
      <c r="D17" s="30" t="s">
        <v>73</v>
      </c>
      <c r="E17" s="5"/>
      <c r="F17" s="7"/>
    </row>
    <row r="18" spans="1:6" x14ac:dyDescent="0.25">
      <c r="A18" s="63">
        <v>16</v>
      </c>
      <c r="B18" s="66" t="s">
        <v>79</v>
      </c>
      <c r="C18" s="42" t="s">
        <v>22</v>
      </c>
      <c r="D18" s="17" t="s">
        <v>74</v>
      </c>
      <c r="E18" s="5" t="s">
        <v>350</v>
      </c>
      <c r="F18" s="7"/>
    </row>
    <row r="19" spans="1:6" x14ac:dyDescent="0.25">
      <c r="A19" s="63">
        <v>17</v>
      </c>
      <c r="B19" s="67" t="s">
        <v>85</v>
      </c>
      <c r="C19" s="42" t="s">
        <v>46</v>
      </c>
      <c r="D19" s="30" t="s">
        <v>73</v>
      </c>
      <c r="E19" s="5"/>
      <c r="F19" s="7"/>
    </row>
    <row r="20" spans="1:6" x14ac:dyDescent="0.25">
      <c r="A20" s="63">
        <v>18</v>
      </c>
      <c r="B20" s="66" t="s">
        <v>90</v>
      </c>
      <c r="C20" s="42" t="s">
        <v>38</v>
      </c>
      <c r="D20" s="30" t="s">
        <v>73</v>
      </c>
      <c r="E20" s="5"/>
      <c r="F20" s="7"/>
    </row>
    <row r="21" spans="1:6" x14ac:dyDescent="0.25">
      <c r="A21" s="63">
        <v>19</v>
      </c>
      <c r="B21" s="66" t="s">
        <v>91</v>
      </c>
      <c r="C21" s="42" t="s">
        <v>44</v>
      </c>
      <c r="D21" s="17" t="s">
        <v>74</v>
      </c>
      <c r="E21" s="5" t="s">
        <v>383</v>
      </c>
      <c r="F21" s="7"/>
    </row>
    <row r="22" spans="1:6" x14ac:dyDescent="0.25">
      <c r="A22" s="63">
        <v>20</v>
      </c>
      <c r="B22" s="66" t="s">
        <v>77</v>
      </c>
      <c r="C22" s="42" t="s">
        <v>37</v>
      </c>
      <c r="D22" s="30" t="s">
        <v>73</v>
      </c>
      <c r="E22" s="5" t="s">
        <v>384</v>
      </c>
      <c r="F22" s="7"/>
    </row>
    <row r="23" spans="1:6" x14ac:dyDescent="0.25">
      <c r="A23" s="63">
        <v>21</v>
      </c>
      <c r="B23" s="66" t="s">
        <v>92</v>
      </c>
      <c r="C23" s="42" t="s">
        <v>39</v>
      </c>
      <c r="D23" s="30" t="s">
        <v>73</v>
      </c>
      <c r="E23" s="5" t="s">
        <v>394</v>
      </c>
      <c r="F23" s="7"/>
    </row>
    <row r="24" spans="1:6" x14ac:dyDescent="0.25">
      <c r="A24" s="63">
        <v>22</v>
      </c>
      <c r="B24" s="66" t="s">
        <v>97</v>
      </c>
      <c r="C24" s="42" t="s">
        <v>42</v>
      </c>
      <c r="D24" s="30" t="s">
        <v>73</v>
      </c>
      <c r="E24" s="5"/>
      <c r="F24" s="7"/>
    </row>
    <row r="25" spans="1:6" x14ac:dyDescent="0.25">
      <c r="A25" s="63">
        <v>23</v>
      </c>
      <c r="B25" s="66" t="s">
        <v>93</v>
      </c>
      <c r="C25" s="42" t="s">
        <v>43</v>
      </c>
      <c r="D25" s="30" t="s">
        <v>73</v>
      </c>
      <c r="E25" s="5" t="s">
        <v>395</v>
      </c>
      <c r="F25" s="7" t="s">
        <v>365</v>
      </c>
    </row>
    <row r="26" spans="1:6" x14ac:dyDescent="0.25">
      <c r="A26" s="63">
        <v>24</v>
      </c>
      <c r="B26" s="66" t="s">
        <v>123</v>
      </c>
      <c r="C26" s="42" t="s">
        <v>40</v>
      </c>
      <c r="D26" s="30" t="s">
        <v>73</v>
      </c>
      <c r="E26" s="5"/>
      <c r="F26" s="7"/>
    </row>
    <row r="27" spans="1:6" x14ac:dyDescent="0.25">
      <c r="A27" s="63">
        <v>25</v>
      </c>
      <c r="B27" s="66" t="s">
        <v>78</v>
      </c>
      <c r="C27" s="42" t="s">
        <v>41</v>
      </c>
      <c r="D27" s="17" t="s">
        <v>74</v>
      </c>
      <c r="E27" s="5" t="s">
        <v>396</v>
      </c>
      <c r="F27" s="7"/>
    </row>
    <row r="28" spans="1:6" x14ac:dyDescent="0.25">
      <c r="A28" s="63">
        <v>26</v>
      </c>
      <c r="B28" s="66" t="s">
        <v>80</v>
      </c>
      <c r="C28" s="42" t="s">
        <v>47</v>
      </c>
      <c r="D28" s="30" t="s">
        <v>73</v>
      </c>
      <c r="E28" s="5"/>
      <c r="F28" s="7"/>
    </row>
    <row r="29" spans="1:6" x14ac:dyDescent="0.25">
      <c r="A29" s="63">
        <v>27</v>
      </c>
      <c r="B29" s="66" t="s">
        <v>94</v>
      </c>
      <c r="C29" s="42" t="s">
        <v>48</v>
      </c>
      <c r="D29" s="30" t="s">
        <v>73</v>
      </c>
      <c r="E29" s="5" t="s">
        <v>397</v>
      </c>
      <c r="F29" s="7"/>
    </row>
    <row r="30" spans="1:6" x14ac:dyDescent="0.25">
      <c r="A30" s="63">
        <v>28</v>
      </c>
      <c r="B30" s="66" t="s">
        <v>78</v>
      </c>
      <c r="C30" s="42" t="s">
        <v>49</v>
      </c>
      <c r="D30" s="30" t="s">
        <v>73</v>
      </c>
      <c r="E30" s="5"/>
      <c r="F30" s="7"/>
    </row>
    <row r="31" spans="1:6" x14ac:dyDescent="0.25">
      <c r="A31" s="63">
        <v>29</v>
      </c>
      <c r="B31" s="66" t="s">
        <v>92</v>
      </c>
      <c r="C31" s="42" t="s">
        <v>50</v>
      </c>
      <c r="D31" s="30" t="s">
        <v>73</v>
      </c>
      <c r="E31" s="5"/>
      <c r="F31" s="7"/>
    </row>
    <row r="32" spans="1:6" x14ac:dyDescent="0.25">
      <c r="A32" s="63">
        <v>30</v>
      </c>
      <c r="B32" s="66" t="s">
        <v>90</v>
      </c>
      <c r="C32" s="42" t="s">
        <v>51</v>
      </c>
      <c r="D32" s="17" t="s">
        <v>74</v>
      </c>
      <c r="E32" s="5" t="s">
        <v>398</v>
      </c>
      <c r="F32" s="7"/>
    </row>
    <row r="33" spans="1:6" x14ac:dyDescent="0.25">
      <c r="A33" s="63">
        <v>31</v>
      </c>
      <c r="B33" s="67" t="s">
        <v>85</v>
      </c>
      <c r="C33" s="42" t="s">
        <v>52</v>
      </c>
      <c r="D33" s="30" t="s">
        <v>73</v>
      </c>
      <c r="E33" s="5"/>
      <c r="F33" s="7"/>
    </row>
    <row r="34" spans="1:6" x14ac:dyDescent="0.25">
      <c r="A34" s="63">
        <v>32</v>
      </c>
      <c r="B34" s="65" t="s">
        <v>84</v>
      </c>
      <c r="C34" s="42" t="s">
        <v>53</v>
      </c>
      <c r="D34" s="30" t="s">
        <v>73</v>
      </c>
      <c r="E34" s="5" t="s">
        <v>399</v>
      </c>
      <c r="F34" s="7"/>
    </row>
    <row r="35" spans="1:6" x14ac:dyDescent="0.25">
      <c r="A35" s="63">
        <v>33</v>
      </c>
      <c r="B35" s="66" t="s">
        <v>79</v>
      </c>
      <c r="C35" s="42" t="s">
        <v>54</v>
      </c>
      <c r="D35" s="30" t="s">
        <v>73</v>
      </c>
      <c r="E35" s="5" t="s">
        <v>400</v>
      </c>
      <c r="F35" s="7"/>
    </row>
    <row r="36" spans="1:6" x14ac:dyDescent="0.25">
      <c r="A36" s="63">
        <v>34</v>
      </c>
      <c r="B36" s="67" t="s">
        <v>85</v>
      </c>
      <c r="C36" s="42" t="s">
        <v>55</v>
      </c>
      <c r="D36" s="30" t="s">
        <v>73</v>
      </c>
      <c r="E36" s="5"/>
      <c r="F36" s="7"/>
    </row>
    <row r="37" spans="1:6" x14ac:dyDescent="0.25">
      <c r="A37" s="63">
        <v>35</v>
      </c>
      <c r="B37" s="66" t="s">
        <v>78</v>
      </c>
      <c r="C37" s="42" t="s">
        <v>56</v>
      </c>
      <c r="D37" s="30" t="s">
        <v>73</v>
      </c>
      <c r="E37" s="5" t="s">
        <v>401</v>
      </c>
      <c r="F37" s="6"/>
    </row>
    <row r="38" spans="1:6" x14ac:dyDescent="0.25">
      <c r="A38" s="63">
        <v>36</v>
      </c>
      <c r="B38" s="66" t="s">
        <v>92</v>
      </c>
      <c r="C38" s="42" t="s">
        <v>57</v>
      </c>
      <c r="D38" s="30" t="s">
        <v>73</v>
      </c>
      <c r="E38" s="5" t="s">
        <v>402</v>
      </c>
      <c r="F38" s="7"/>
    </row>
    <row r="39" spans="1:6" x14ac:dyDescent="0.25">
      <c r="A39" s="63">
        <v>37</v>
      </c>
      <c r="B39" s="66" t="s">
        <v>88</v>
      </c>
      <c r="C39" s="42" t="s">
        <v>58</v>
      </c>
      <c r="D39" s="30" t="s">
        <v>73</v>
      </c>
      <c r="E39" s="5"/>
      <c r="F39" s="7"/>
    </row>
    <row r="40" spans="1:6" x14ac:dyDescent="0.25">
      <c r="A40" s="63">
        <v>38</v>
      </c>
      <c r="B40" s="65" t="s">
        <v>84</v>
      </c>
      <c r="C40" s="42" t="s">
        <v>59</v>
      </c>
      <c r="D40" s="30" t="s">
        <v>73</v>
      </c>
      <c r="E40" s="5"/>
      <c r="F40" s="7"/>
    </row>
    <row r="41" spans="1:6" x14ac:dyDescent="0.25">
      <c r="A41" s="63">
        <v>39</v>
      </c>
      <c r="B41" s="65" t="s">
        <v>98</v>
      </c>
      <c r="C41" s="42" t="s">
        <v>99</v>
      </c>
      <c r="D41" s="17" t="s">
        <v>74</v>
      </c>
      <c r="E41" s="5" t="s">
        <v>336</v>
      </c>
      <c r="F41" s="7" t="s">
        <v>337</v>
      </c>
    </row>
    <row r="42" spans="1:6" x14ac:dyDescent="0.25">
      <c r="A42" s="63">
        <v>40</v>
      </c>
      <c r="B42" s="66" t="s">
        <v>8</v>
      </c>
      <c r="C42" s="42" t="s">
        <v>62</v>
      </c>
      <c r="D42" s="30" t="s">
        <v>73</v>
      </c>
      <c r="E42" s="5"/>
      <c r="F42" s="7"/>
    </row>
    <row r="43" spans="1:6" x14ac:dyDescent="0.25">
      <c r="A43" s="63">
        <v>41</v>
      </c>
      <c r="B43" s="66" t="s">
        <v>93</v>
      </c>
      <c r="C43" s="42" t="s">
        <v>63</v>
      </c>
      <c r="D43" s="30" t="s">
        <v>73</v>
      </c>
      <c r="E43" s="5"/>
      <c r="F43" s="7"/>
    </row>
    <row r="44" spans="1:6" x14ac:dyDescent="0.25">
      <c r="A44" s="63">
        <v>42</v>
      </c>
      <c r="B44" s="66" t="s">
        <v>77</v>
      </c>
      <c r="C44" s="42" t="s">
        <v>65</v>
      </c>
      <c r="D44" s="30" t="s">
        <v>73</v>
      </c>
      <c r="E44" s="5"/>
      <c r="F44" s="7"/>
    </row>
    <row r="45" spans="1:6" x14ac:dyDescent="0.25">
      <c r="A45" s="63">
        <v>43</v>
      </c>
      <c r="B45" s="66" t="s">
        <v>95</v>
      </c>
      <c r="C45" s="42" t="s">
        <v>60</v>
      </c>
      <c r="D45" s="30" t="s">
        <v>73</v>
      </c>
      <c r="E45" s="5"/>
      <c r="F45" s="7"/>
    </row>
    <row r="46" spans="1:6" x14ac:dyDescent="0.25">
      <c r="A46" s="63">
        <v>44</v>
      </c>
      <c r="B46" s="66" t="s">
        <v>96</v>
      </c>
      <c r="C46" s="42" t="s">
        <v>61</v>
      </c>
      <c r="D46" s="30" t="s">
        <v>73</v>
      </c>
      <c r="E46" s="5"/>
      <c r="F46" s="7"/>
    </row>
    <row r="47" spans="1:6" x14ac:dyDescent="0.25">
      <c r="A47" s="63">
        <v>45</v>
      </c>
      <c r="B47" s="66" t="s">
        <v>91</v>
      </c>
      <c r="C47" s="42" t="s">
        <v>64</v>
      </c>
      <c r="D47" s="30" t="s">
        <v>73</v>
      </c>
      <c r="E47" s="5"/>
      <c r="F47" s="7"/>
    </row>
    <row r="48" spans="1:6" x14ac:dyDescent="0.25">
      <c r="A48" s="63">
        <v>46</v>
      </c>
      <c r="B48" s="66" t="s">
        <v>88</v>
      </c>
      <c r="C48" s="42" t="s">
        <v>23</v>
      </c>
      <c r="D48" s="30" t="s">
        <v>73</v>
      </c>
      <c r="E48" s="5"/>
      <c r="F48" s="7"/>
    </row>
    <row r="49" spans="1:6" x14ac:dyDescent="0.25">
      <c r="A49" s="63">
        <v>47</v>
      </c>
      <c r="B49" s="66" t="s">
        <v>81</v>
      </c>
      <c r="C49" s="42" t="s">
        <v>24</v>
      </c>
      <c r="D49" s="30" t="s">
        <v>73</v>
      </c>
      <c r="E49" s="5"/>
      <c r="F49" s="7"/>
    </row>
    <row r="50" spans="1:6" x14ac:dyDescent="0.25">
      <c r="A50" s="63">
        <v>48</v>
      </c>
      <c r="B50" s="66" t="s">
        <v>81</v>
      </c>
      <c r="C50" s="42" t="s">
        <v>25</v>
      </c>
      <c r="D50" s="30" t="s">
        <v>73</v>
      </c>
      <c r="E50" s="5"/>
      <c r="F50" s="7"/>
    </row>
    <row r="51" spans="1:6" x14ac:dyDescent="0.25">
      <c r="A51" s="63">
        <v>49</v>
      </c>
      <c r="B51" s="67" t="s">
        <v>100</v>
      </c>
      <c r="C51" s="42" t="s">
        <v>26</v>
      </c>
      <c r="D51" s="30" t="s">
        <v>73</v>
      </c>
      <c r="E51" s="5" t="s">
        <v>403</v>
      </c>
      <c r="F51" s="7"/>
    </row>
    <row r="52" spans="1:6" x14ac:dyDescent="0.25">
      <c r="A52" s="63">
        <v>50</v>
      </c>
      <c r="B52" s="67" t="s">
        <v>100</v>
      </c>
      <c r="C52" s="42" t="s">
        <v>27</v>
      </c>
      <c r="D52" s="30" t="s">
        <v>73</v>
      </c>
      <c r="E52" s="18"/>
      <c r="F52" s="7"/>
    </row>
    <row r="53" spans="1:6" x14ac:dyDescent="0.25">
      <c r="A53" s="63">
        <v>51</v>
      </c>
      <c r="B53" s="67" t="s">
        <v>100</v>
      </c>
      <c r="C53" s="42" t="s">
        <v>28</v>
      </c>
      <c r="D53" s="30" t="s">
        <v>73</v>
      </c>
      <c r="E53" s="5"/>
      <c r="F53" s="7"/>
    </row>
    <row r="54" spans="1:6" x14ac:dyDescent="0.25">
      <c r="A54" s="63">
        <v>52</v>
      </c>
      <c r="B54" s="67" t="s">
        <v>100</v>
      </c>
      <c r="C54" s="42" t="s">
        <v>29</v>
      </c>
      <c r="D54" s="30" t="s">
        <v>73</v>
      </c>
      <c r="E54" s="115"/>
      <c r="F54" s="7"/>
    </row>
    <row r="55" spans="1:6" x14ac:dyDescent="0.25">
      <c r="A55" s="63">
        <v>53</v>
      </c>
      <c r="B55" s="67" t="s">
        <v>100</v>
      </c>
      <c r="C55" s="44" t="s">
        <v>30</v>
      </c>
      <c r="D55" s="30" t="s">
        <v>73</v>
      </c>
      <c r="E55" s="5"/>
      <c r="F55" s="7"/>
    </row>
    <row r="56" spans="1:6" x14ac:dyDescent="0.25">
      <c r="A56" s="63">
        <v>54</v>
      </c>
      <c r="B56" s="65" t="s">
        <v>84</v>
      </c>
      <c r="C56" s="44" t="s">
        <v>31</v>
      </c>
      <c r="D56" s="30" t="s">
        <v>73</v>
      </c>
      <c r="E56" s="5"/>
      <c r="F56" s="7"/>
    </row>
    <row r="57" spans="1:6" x14ac:dyDescent="0.25">
      <c r="A57" s="63">
        <v>55</v>
      </c>
      <c r="B57" s="67" t="s">
        <v>85</v>
      </c>
      <c r="C57" s="44" t="s">
        <v>32</v>
      </c>
      <c r="D57" s="30" t="s">
        <v>73</v>
      </c>
      <c r="E57" s="5"/>
      <c r="F57" s="7"/>
    </row>
    <row r="58" spans="1:6" x14ac:dyDescent="0.25">
      <c r="A58" s="63">
        <v>56</v>
      </c>
      <c r="B58" s="67" t="s">
        <v>123</v>
      </c>
      <c r="C58" s="44" t="s">
        <v>33</v>
      </c>
      <c r="D58" s="30" t="s">
        <v>73</v>
      </c>
      <c r="E58" s="5"/>
      <c r="F58" s="7"/>
    </row>
    <row r="59" spans="1:6" x14ac:dyDescent="0.25">
      <c r="A59" s="63">
        <v>57</v>
      </c>
      <c r="B59" s="67" t="s">
        <v>82</v>
      </c>
      <c r="C59" s="44" t="s">
        <v>34</v>
      </c>
      <c r="D59" s="30" t="s">
        <v>73</v>
      </c>
      <c r="E59" s="5"/>
      <c r="F59" s="7"/>
    </row>
    <row r="60" spans="1:6" x14ac:dyDescent="0.25">
      <c r="A60" s="63">
        <v>58</v>
      </c>
      <c r="B60" s="67" t="s">
        <v>82</v>
      </c>
      <c r="C60" s="44" t="s">
        <v>35</v>
      </c>
      <c r="D60" s="17" t="s">
        <v>74</v>
      </c>
      <c r="E60" s="5" t="s">
        <v>374</v>
      </c>
      <c r="F60" s="7" t="s">
        <v>373</v>
      </c>
    </row>
    <row r="61" spans="1:6" x14ac:dyDescent="0.25">
      <c r="A61" s="63">
        <v>59</v>
      </c>
      <c r="B61" s="67" t="s">
        <v>107</v>
      </c>
      <c r="C61" s="44" t="s">
        <v>36</v>
      </c>
      <c r="D61" s="30" t="s">
        <v>73</v>
      </c>
      <c r="E61" s="3"/>
      <c r="F61" s="6"/>
    </row>
    <row r="62" spans="1:6" x14ac:dyDescent="0.25">
      <c r="A62" s="63">
        <v>60</v>
      </c>
      <c r="B62" s="67" t="s">
        <v>100</v>
      </c>
      <c r="C62" s="44" t="s">
        <v>68</v>
      </c>
      <c r="D62" s="17" t="s">
        <v>74</v>
      </c>
      <c r="E62" s="5" t="s">
        <v>240</v>
      </c>
      <c r="F62" s="7" t="s">
        <v>318</v>
      </c>
    </row>
    <row r="63" spans="1:6" x14ac:dyDescent="0.25">
      <c r="A63" s="63">
        <v>61</v>
      </c>
      <c r="B63" s="67" t="s">
        <v>100</v>
      </c>
      <c r="C63" s="44" t="s">
        <v>108</v>
      </c>
      <c r="D63" s="30" t="s">
        <v>73</v>
      </c>
      <c r="E63" s="5"/>
      <c r="F63" s="7"/>
    </row>
    <row r="64" spans="1:6" x14ac:dyDescent="0.25">
      <c r="A64" s="64">
        <v>62</v>
      </c>
      <c r="B64" s="67" t="s">
        <v>212</v>
      </c>
      <c r="C64" s="58" t="s">
        <v>124</v>
      </c>
      <c r="D64" s="59" t="s">
        <v>73</v>
      </c>
      <c r="E64" s="60"/>
      <c r="F64" s="61"/>
    </row>
    <row r="65" spans="1:6" x14ac:dyDescent="0.25">
      <c r="A65" s="63">
        <v>63</v>
      </c>
      <c r="B65" s="68" t="s">
        <v>77</v>
      </c>
      <c r="C65" s="44" t="s">
        <v>214</v>
      </c>
      <c r="D65" s="69" t="s">
        <v>73</v>
      </c>
      <c r="E65" s="5"/>
      <c r="F65" s="7"/>
    </row>
    <row r="66" spans="1:6" x14ac:dyDescent="0.25">
      <c r="A66" s="63">
        <v>64</v>
      </c>
      <c r="B66" s="67" t="s">
        <v>84</v>
      </c>
      <c r="C66" s="44" t="s">
        <v>215</v>
      </c>
      <c r="D66" s="69" t="s">
        <v>73</v>
      </c>
      <c r="E66" s="5"/>
      <c r="F66" s="7"/>
    </row>
    <row r="67" spans="1:6" x14ac:dyDescent="0.25">
      <c r="A67" s="112">
        <v>65</v>
      </c>
      <c r="B67" s="67" t="s">
        <v>87</v>
      </c>
      <c r="C67" s="110" t="s">
        <v>217</v>
      </c>
      <c r="D67" s="69" t="s">
        <v>73</v>
      </c>
      <c r="E67" s="5" t="s">
        <v>404</v>
      </c>
      <c r="F67" s="111"/>
    </row>
    <row r="68" spans="1:6" ht="15.75" thickBot="1" x14ac:dyDescent="0.3">
      <c r="A68" s="71">
        <v>66</v>
      </c>
      <c r="B68" s="113" t="s">
        <v>84</v>
      </c>
      <c r="C68" s="72" t="s">
        <v>19</v>
      </c>
      <c r="D68" s="70" t="s">
        <v>73</v>
      </c>
      <c r="E68" s="109" t="s">
        <v>264</v>
      </c>
      <c r="F68" s="73" t="s">
        <v>265</v>
      </c>
    </row>
    <row r="69" spans="1:6" x14ac:dyDescent="0.25">
      <c r="B69" s="27"/>
      <c r="C69" s="27"/>
      <c r="D69" s="27"/>
      <c r="E69" s="28"/>
      <c r="F69" s="29"/>
    </row>
    <row r="71" spans="1:6" x14ac:dyDescent="0.25">
      <c r="B71" s="24" t="s">
        <v>69</v>
      </c>
      <c r="C71" s="25"/>
      <c r="D71" s="11"/>
    </row>
    <row r="72" spans="1:6" x14ac:dyDescent="0.25">
      <c r="B72" s="12"/>
      <c r="C72" s="13"/>
      <c r="D72" s="14"/>
    </row>
    <row r="73" spans="1:6" x14ac:dyDescent="0.25">
      <c r="B73" s="15" t="s">
        <v>70</v>
      </c>
      <c r="C73" s="23" t="s">
        <v>223</v>
      </c>
      <c r="D73" s="14"/>
    </row>
    <row r="74" spans="1:6" x14ac:dyDescent="0.25">
      <c r="B74" s="15" t="s">
        <v>71</v>
      </c>
      <c r="C74" s="23" t="s">
        <v>291</v>
      </c>
      <c r="D74" s="13" t="s">
        <v>375</v>
      </c>
    </row>
    <row r="75" spans="1:6" x14ac:dyDescent="0.25">
      <c r="B75" s="15" t="s">
        <v>72</v>
      </c>
      <c r="C75" s="22" t="s">
        <v>237</v>
      </c>
      <c r="D75" s="26" t="s">
        <v>349</v>
      </c>
    </row>
    <row r="76" spans="1:6" x14ac:dyDescent="0.25">
      <c r="B76" s="16" t="s">
        <v>109</v>
      </c>
      <c r="C76" s="21" t="s">
        <v>305</v>
      </c>
      <c r="D76" s="26"/>
      <c r="E76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7"/>
  <sheetViews>
    <sheetView topLeftCell="A10" workbookViewId="0">
      <selection activeCell="E34" sqref="E34"/>
    </sheetView>
  </sheetViews>
  <sheetFormatPr defaultRowHeight="15" x14ac:dyDescent="0.25"/>
  <cols>
    <col min="1" max="1" width="22.85546875" customWidth="1"/>
    <col min="2" max="2" width="17.85546875" customWidth="1"/>
    <col min="3" max="3" width="27.5703125" customWidth="1"/>
    <col min="4" max="4" width="19" customWidth="1"/>
    <col min="5" max="5" width="134.42578125" bestFit="1" customWidth="1"/>
  </cols>
  <sheetData>
    <row r="1" spans="1:5" ht="26.25" x14ac:dyDescent="0.4">
      <c r="B1" s="116" t="s">
        <v>200</v>
      </c>
      <c r="C1" s="116"/>
      <c r="D1" s="116"/>
      <c r="E1" s="116"/>
    </row>
    <row r="2" spans="1:5" x14ac:dyDescent="0.25">
      <c r="A2" s="52" t="s">
        <v>125</v>
      </c>
      <c r="B2" s="52" t="s">
        <v>126</v>
      </c>
      <c r="C2" s="52" t="s">
        <v>131</v>
      </c>
      <c r="D2" s="52" t="s">
        <v>127</v>
      </c>
      <c r="E2" s="53" t="s">
        <v>128</v>
      </c>
    </row>
    <row r="3" spans="1:5" x14ac:dyDescent="0.25">
      <c r="A3" s="49" t="s">
        <v>129</v>
      </c>
      <c r="B3" s="50" t="s">
        <v>38</v>
      </c>
      <c r="C3" s="50" t="s">
        <v>132</v>
      </c>
      <c r="D3" s="50" t="s">
        <v>160</v>
      </c>
      <c r="E3" s="50" t="s">
        <v>201</v>
      </c>
    </row>
    <row r="4" spans="1:5" x14ac:dyDescent="0.25">
      <c r="A4" s="50"/>
      <c r="B4" s="50" t="s">
        <v>51</v>
      </c>
      <c r="C4" s="50" t="s">
        <v>132</v>
      </c>
      <c r="D4" s="50" t="s">
        <v>160</v>
      </c>
      <c r="E4" s="50" t="s">
        <v>205</v>
      </c>
    </row>
    <row r="5" spans="1:5" x14ac:dyDescent="0.25">
      <c r="A5" s="49" t="s">
        <v>133</v>
      </c>
      <c r="B5" s="50"/>
      <c r="C5" s="50"/>
      <c r="D5" s="50"/>
      <c r="E5" s="50"/>
    </row>
    <row r="6" spans="1:5" x14ac:dyDescent="0.25">
      <c r="A6" s="50"/>
      <c r="B6" s="50" t="s">
        <v>7</v>
      </c>
      <c r="C6" s="50" t="s">
        <v>134</v>
      </c>
      <c r="D6" s="50"/>
      <c r="E6" s="50" t="s">
        <v>135</v>
      </c>
    </row>
    <row r="7" spans="1:5" x14ac:dyDescent="0.25">
      <c r="A7" s="50"/>
      <c r="B7" s="50"/>
      <c r="C7" s="50"/>
      <c r="D7" s="50"/>
      <c r="E7" s="50"/>
    </row>
    <row r="8" spans="1:5" x14ac:dyDescent="0.25">
      <c r="A8" s="52" t="s">
        <v>125</v>
      </c>
      <c r="B8" s="52" t="s">
        <v>126</v>
      </c>
      <c r="C8" s="52" t="s">
        <v>131</v>
      </c>
      <c r="D8" s="52" t="s">
        <v>127</v>
      </c>
      <c r="E8" s="53" t="s">
        <v>128</v>
      </c>
    </row>
    <row r="9" spans="1:5" x14ac:dyDescent="0.25">
      <c r="A9" s="49" t="s">
        <v>130</v>
      </c>
      <c r="B9" s="50" t="s">
        <v>158</v>
      </c>
      <c r="C9" s="50" t="s">
        <v>157</v>
      </c>
      <c r="D9" s="50" t="s">
        <v>142</v>
      </c>
      <c r="E9" s="50" t="s">
        <v>202</v>
      </c>
    </row>
    <row r="10" spans="1:5" x14ac:dyDescent="0.25">
      <c r="A10" s="49"/>
      <c r="B10" s="50"/>
      <c r="C10" s="50"/>
      <c r="D10" s="50"/>
      <c r="E10" s="50"/>
    </row>
    <row r="11" spans="1:5" x14ac:dyDescent="0.25">
      <c r="A11" s="52" t="s">
        <v>125</v>
      </c>
      <c r="B11" s="52" t="s">
        <v>126</v>
      </c>
      <c r="C11" s="52" t="s">
        <v>131</v>
      </c>
      <c r="D11" s="52" t="s">
        <v>127</v>
      </c>
      <c r="E11" s="53" t="s">
        <v>128</v>
      </c>
    </row>
    <row r="12" spans="1:5" x14ac:dyDescent="0.25">
      <c r="A12" s="49" t="s">
        <v>91</v>
      </c>
      <c r="B12" s="50" t="s">
        <v>44</v>
      </c>
      <c r="C12" s="50" t="s">
        <v>132</v>
      </c>
      <c r="D12" s="50" t="s">
        <v>142</v>
      </c>
      <c r="E12" s="50" t="s">
        <v>204</v>
      </c>
    </row>
    <row r="13" spans="1:5" x14ac:dyDescent="0.25">
      <c r="A13" s="49"/>
      <c r="B13" s="50" t="s">
        <v>147</v>
      </c>
      <c r="C13" s="50" t="s">
        <v>148</v>
      </c>
      <c r="D13" s="50" t="s">
        <v>142</v>
      </c>
      <c r="E13" s="50" t="s">
        <v>145</v>
      </c>
    </row>
    <row r="14" spans="1:5" x14ac:dyDescent="0.25">
      <c r="A14" s="49"/>
      <c r="B14" s="50" t="s">
        <v>106</v>
      </c>
      <c r="C14" s="50" t="s">
        <v>150</v>
      </c>
      <c r="D14" s="50" t="s">
        <v>142</v>
      </c>
      <c r="E14" s="50" t="s">
        <v>203</v>
      </c>
    </row>
    <row r="15" spans="1:5" x14ac:dyDescent="0.25">
      <c r="A15" s="49"/>
      <c r="B15" s="50"/>
      <c r="C15" s="50"/>
      <c r="D15" s="50"/>
      <c r="E15" s="50"/>
    </row>
    <row r="16" spans="1:5" x14ac:dyDescent="0.25">
      <c r="A16" s="49" t="s">
        <v>103</v>
      </c>
      <c r="B16" s="50" t="s">
        <v>104</v>
      </c>
      <c r="C16" s="50" t="s">
        <v>183</v>
      </c>
      <c r="D16" s="50" t="s">
        <v>142</v>
      </c>
      <c r="E16" s="50" t="s">
        <v>165</v>
      </c>
    </row>
    <row r="17" spans="1:5" x14ac:dyDescent="0.25">
      <c r="A17" s="49"/>
      <c r="B17" s="50"/>
      <c r="C17" s="50"/>
      <c r="D17" s="50"/>
      <c r="E17" s="50"/>
    </row>
    <row r="18" spans="1:5" x14ac:dyDescent="0.25">
      <c r="A18" s="52" t="s">
        <v>125</v>
      </c>
      <c r="B18" s="52" t="s">
        <v>126</v>
      </c>
      <c r="C18" s="52"/>
      <c r="D18" s="52" t="s">
        <v>127</v>
      </c>
      <c r="E18" s="54"/>
    </row>
    <row r="19" spans="1:5" x14ac:dyDescent="0.25">
      <c r="A19" s="49" t="s">
        <v>78</v>
      </c>
      <c r="B19" s="50" t="s">
        <v>49</v>
      </c>
      <c r="C19" s="50" t="s">
        <v>136</v>
      </c>
      <c r="D19" s="50" t="s">
        <v>139</v>
      </c>
      <c r="E19" s="50" t="s">
        <v>145</v>
      </c>
    </row>
    <row r="20" spans="1:5" x14ac:dyDescent="0.25">
      <c r="A20" s="51"/>
      <c r="B20" s="50" t="s">
        <v>41</v>
      </c>
      <c r="C20" s="50" t="s">
        <v>132</v>
      </c>
      <c r="D20" s="50" t="s">
        <v>139</v>
      </c>
      <c r="E20" s="50" t="s">
        <v>145</v>
      </c>
    </row>
    <row r="21" spans="1:5" x14ac:dyDescent="0.25">
      <c r="A21" s="51"/>
      <c r="B21" s="50" t="s">
        <v>56</v>
      </c>
      <c r="C21" s="50" t="s">
        <v>132</v>
      </c>
      <c r="D21" s="50" t="s">
        <v>139</v>
      </c>
      <c r="E21" s="50" t="s">
        <v>145</v>
      </c>
    </row>
    <row r="22" spans="1:5" x14ac:dyDescent="0.25">
      <c r="A22" s="50"/>
      <c r="B22" s="50" t="s">
        <v>20</v>
      </c>
      <c r="C22" s="50" t="s">
        <v>138</v>
      </c>
      <c r="D22" s="50" t="s">
        <v>139</v>
      </c>
      <c r="E22" s="50" t="s">
        <v>207</v>
      </c>
    </row>
    <row r="23" spans="1:5" x14ac:dyDescent="0.25">
      <c r="A23" s="52" t="s">
        <v>125</v>
      </c>
      <c r="B23" s="52" t="s">
        <v>126</v>
      </c>
      <c r="C23" s="52"/>
      <c r="D23" s="52" t="s">
        <v>127</v>
      </c>
      <c r="E23" s="54"/>
    </row>
    <row r="24" spans="1:5" x14ac:dyDescent="0.25">
      <c r="A24" s="49" t="s">
        <v>140</v>
      </c>
      <c r="B24" s="50" t="s">
        <v>42</v>
      </c>
      <c r="C24" s="50" t="s">
        <v>132</v>
      </c>
      <c r="D24" s="50" t="s">
        <v>139</v>
      </c>
      <c r="E24" s="50" t="s">
        <v>146</v>
      </c>
    </row>
    <row r="25" spans="1:5" x14ac:dyDescent="0.25">
      <c r="A25" s="51"/>
      <c r="B25" s="50"/>
      <c r="C25" s="50"/>
      <c r="D25" s="50"/>
      <c r="E25" s="50"/>
    </row>
    <row r="26" spans="1:5" x14ac:dyDescent="0.25">
      <c r="A26" s="55" t="s">
        <v>141</v>
      </c>
      <c r="B26" s="50" t="s">
        <v>99</v>
      </c>
      <c r="C26" s="50" t="s">
        <v>132</v>
      </c>
      <c r="D26" s="50" t="s">
        <v>139</v>
      </c>
      <c r="E26" s="50" t="s">
        <v>208</v>
      </c>
    </row>
    <row r="27" spans="1:5" x14ac:dyDescent="0.25">
      <c r="A27" s="55"/>
      <c r="B27" s="50"/>
      <c r="C27" s="50"/>
      <c r="D27" s="50"/>
      <c r="E27" s="50"/>
    </row>
    <row r="28" spans="1:5" x14ac:dyDescent="0.25">
      <c r="A28" s="51"/>
      <c r="B28" s="50" t="s">
        <v>124</v>
      </c>
      <c r="C28" s="50" t="s">
        <v>132</v>
      </c>
      <c r="D28" s="50" t="s">
        <v>139</v>
      </c>
      <c r="E28" s="50" t="s">
        <v>206</v>
      </c>
    </row>
    <row r="29" spans="1:5" x14ac:dyDescent="0.25">
      <c r="A29" s="52" t="s">
        <v>125</v>
      </c>
      <c r="B29" s="52" t="s">
        <v>126</v>
      </c>
      <c r="C29" s="52"/>
      <c r="D29" s="52" t="s">
        <v>127</v>
      </c>
      <c r="E29" s="54"/>
    </row>
    <row r="30" spans="1:5" x14ac:dyDescent="0.25">
      <c r="A30" s="55" t="s">
        <v>143</v>
      </c>
      <c r="B30" s="50" t="s">
        <v>54</v>
      </c>
      <c r="C30" s="50" t="s">
        <v>132</v>
      </c>
      <c r="D30" s="50" t="s">
        <v>144</v>
      </c>
      <c r="E30" s="50" t="s">
        <v>155</v>
      </c>
    </row>
    <row r="31" spans="1:5" x14ac:dyDescent="0.25">
      <c r="A31" s="50"/>
      <c r="B31" s="50" t="s">
        <v>22</v>
      </c>
      <c r="C31" s="50" t="s">
        <v>134</v>
      </c>
      <c r="D31" s="50" t="s">
        <v>144</v>
      </c>
      <c r="E31" s="50" t="s">
        <v>149</v>
      </c>
    </row>
    <row r="32" spans="1:5" x14ac:dyDescent="0.25">
      <c r="A32" s="50"/>
      <c r="B32" s="50"/>
      <c r="C32" s="50"/>
      <c r="D32" s="50"/>
      <c r="E32" s="50"/>
    </row>
    <row r="33" spans="1:5" x14ac:dyDescent="0.25">
      <c r="A33" s="52" t="s">
        <v>125</v>
      </c>
      <c r="B33" s="52" t="s">
        <v>126</v>
      </c>
      <c r="C33" s="52"/>
      <c r="D33" s="52" t="s">
        <v>127</v>
      </c>
      <c r="E33" s="54"/>
    </row>
    <row r="34" spans="1:5" x14ac:dyDescent="0.25">
      <c r="A34" s="49" t="s">
        <v>93</v>
      </c>
      <c r="B34" s="50" t="s">
        <v>43</v>
      </c>
      <c r="C34" s="50" t="s">
        <v>132</v>
      </c>
      <c r="D34" s="50" t="s">
        <v>152</v>
      </c>
      <c r="E34" s="50" t="s">
        <v>156</v>
      </c>
    </row>
    <row r="35" spans="1:5" x14ac:dyDescent="0.25">
      <c r="A35" s="50"/>
      <c r="B35" s="50" t="s">
        <v>63</v>
      </c>
      <c r="C35" s="50" t="s">
        <v>132</v>
      </c>
      <c r="D35" s="50" t="s">
        <v>152</v>
      </c>
      <c r="E35" s="50" t="s">
        <v>154</v>
      </c>
    </row>
    <row r="36" spans="1:5" x14ac:dyDescent="0.25">
      <c r="A36" s="49" t="s">
        <v>153</v>
      </c>
      <c r="B36" s="50" t="s">
        <v>60</v>
      </c>
      <c r="C36" s="50" t="s">
        <v>132</v>
      </c>
      <c r="D36" s="50" t="s">
        <v>152</v>
      </c>
      <c r="E36" s="50" t="s">
        <v>151</v>
      </c>
    </row>
    <row r="37" spans="1:5" x14ac:dyDescent="0.25">
      <c r="A37" s="50"/>
      <c r="B37" s="50"/>
      <c r="C37" s="50"/>
      <c r="D37" s="50"/>
      <c r="E37" s="50"/>
    </row>
    <row r="38" spans="1:5" x14ac:dyDescent="0.25">
      <c r="A38" s="52" t="s">
        <v>125</v>
      </c>
      <c r="B38" s="52" t="s">
        <v>126</v>
      </c>
      <c r="C38" s="52"/>
      <c r="D38" s="52" t="s">
        <v>127</v>
      </c>
      <c r="E38" s="54"/>
    </row>
    <row r="39" spans="1:5" x14ac:dyDescent="0.25">
      <c r="A39" s="49" t="s">
        <v>179</v>
      </c>
      <c r="B39" s="50" t="s">
        <v>61</v>
      </c>
      <c r="C39" s="50" t="s">
        <v>180</v>
      </c>
      <c r="D39" s="50" t="s">
        <v>181</v>
      </c>
      <c r="E39" s="50" t="s">
        <v>145</v>
      </c>
    </row>
    <row r="40" spans="1:5" x14ac:dyDescent="0.25">
      <c r="A40" s="50"/>
      <c r="B40" s="50"/>
      <c r="C40" s="50"/>
      <c r="D40" s="50"/>
      <c r="E40" s="50"/>
    </row>
    <row r="41" spans="1:5" x14ac:dyDescent="0.25">
      <c r="A41" s="52" t="s">
        <v>125</v>
      </c>
      <c r="B41" s="52" t="s">
        <v>126</v>
      </c>
      <c r="C41" s="52"/>
      <c r="D41" s="52" t="s">
        <v>127</v>
      </c>
      <c r="E41" s="54"/>
    </row>
    <row r="42" spans="1:5" x14ac:dyDescent="0.25">
      <c r="A42" s="49" t="s">
        <v>89</v>
      </c>
      <c r="B42" s="50" t="s">
        <v>14</v>
      </c>
      <c r="C42" s="50" t="s">
        <v>134</v>
      </c>
      <c r="D42" s="50" t="s">
        <v>188</v>
      </c>
      <c r="E42" s="50" t="s">
        <v>145</v>
      </c>
    </row>
    <row r="43" spans="1:5" x14ac:dyDescent="0.25">
      <c r="A43" s="50"/>
      <c r="B43" s="50"/>
      <c r="C43" s="50"/>
      <c r="D43" s="50"/>
      <c r="E43" s="50"/>
    </row>
    <row r="44" spans="1:5" x14ac:dyDescent="0.25">
      <c r="A44" s="52" t="s">
        <v>125</v>
      </c>
      <c r="B44" s="52" t="s">
        <v>126</v>
      </c>
      <c r="C44" s="52"/>
      <c r="D44" s="52" t="s">
        <v>127</v>
      </c>
      <c r="E44" s="54"/>
    </row>
    <row r="45" spans="1:5" x14ac:dyDescent="0.25">
      <c r="A45" s="49" t="s">
        <v>80</v>
      </c>
      <c r="B45" s="50" t="s">
        <v>47</v>
      </c>
      <c r="C45" s="50" t="s">
        <v>132</v>
      </c>
      <c r="D45" s="50" t="s">
        <v>80</v>
      </c>
      <c r="E45" s="50" t="s">
        <v>145</v>
      </c>
    </row>
    <row r="46" spans="1:5" x14ac:dyDescent="0.25">
      <c r="A46" s="50"/>
      <c r="B46" s="50"/>
      <c r="C46" s="50"/>
      <c r="D46" s="50"/>
      <c r="E46" s="50"/>
    </row>
    <row r="47" spans="1:5" x14ac:dyDescent="0.25">
      <c r="A47" s="52" t="s">
        <v>125</v>
      </c>
      <c r="B47" s="52" t="s">
        <v>126</v>
      </c>
      <c r="C47" s="52"/>
      <c r="D47" s="52" t="s">
        <v>127</v>
      </c>
      <c r="E47" s="54"/>
    </row>
    <row r="48" spans="1:5" x14ac:dyDescent="0.25">
      <c r="A48" s="49" t="s">
        <v>189</v>
      </c>
      <c r="B48" s="50" t="s">
        <v>48</v>
      </c>
      <c r="C48" s="50" t="s">
        <v>132</v>
      </c>
      <c r="D48" s="50" t="s">
        <v>190</v>
      </c>
      <c r="E48" s="50" t="s">
        <v>145</v>
      </c>
    </row>
    <row r="49" spans="1:5" x14ac:dyDescent="0.25">
      <c r="A49" s="50"/>
      <c r="B49" s="50"/>
      <c r="C49" s="50"/>
      <c r="D49" s="50"/>
      <c r="E49" s="50"/>
    </row>
    <row r="50" spans="1:5" x14ac:dyDescent="0.25">
      <c r="A50" s="50"/>
      <c r="B50" s="50"/>
      <c r="C50" s="50"/>
      <c r="D50" s="50"/>
      <c r="E50" s="50"/>
    </row>
    <row r="51" spans="1:5" x14ac:dyDescent="0.25">
      <c r="A51" s="50"/>
      <c r="B51" s="50"/>
      <c r="C51" s="50"/>
      <c r="D51" s="50"/>
      <c r="E51" s="50"/>
    </row>
    <row r="52" spans="1:5" x14ac:dyDescent="0.25">
      <c r="A52" s="50"/>
      <c r="B52" s="50"/>
      <c r="C52" s="50"/>
      <c r="D52" s="50"/>
      <c r="E52" s="50"/>
    </row>
    <row r="53" spans="1:5" x14ac:dyDescent="0.25">
      <c r="A53" s="50"/>
      <c r="B53" s="50"/>
      <c r="C53" s="50"/>
      <c r="D53" s="50"/>
      <c r="E53" s="50"/>
    </row>
    <row r="54" spans="1:5" x14ac:dyDescent="0.25">
      <c r="A54" s="50"/>
      <c r="B54" s="50"/>
      <c r="C54" s="50"/>
      <c r="D54" s="50"/>
      <c r="E54" s="50"/>
    </row>
    <row r="55" spans="1:5" x14ac:dyDescent="0.25">
      <c r="A55" s="50"/>
      <c r="B55" s="50"/>
      <c r="C55" s="50"/>
      <c r="D55" s="50"/>
      <c r="E55" s="50"/>
    </row>
    <row r="56" spans="1:5" x14ac:dyDescent="0.25">
      <c r="A56" s="50"/>
      <c r="B56" s="50"/>
      <c r="C56" s="50"/>
      <c r="D56" s="50"/>
      <c r="E56" s="50"/>
    </row>
    <row r="57" spans="1:5" x14ac:dyDescent="0.25">
      <c r="A57" s="50"/>
      <c r="B57" s="50"/>
      <c r="C57" s="50"/>
      <c r="D57" s="50"/>
      <c r="E57" s="50"/>
    </row>
    <row r="58" spans="1:5" x14ac:dyDescent="0.25">
      <c r="A58" s="50"/>
      <c r="B58" s="50"/>
      <c r="C58" s="50"/>
      <c r="D58" s="50"/>
      <c r="E58" s="50"/>
    </row>
    <row r="59" spans="1:5" x14ac:dyDescent="0.25">
      <c r="A59" s="50"/>
      <c r="B59" s="50"/>
      <c r="C59" s="50"/>
      <c r="D59" s="50"/>
      <c r="E59" s="50"/>
    </row>
    <row r="60" spans="1:5" x14ac:dyDescent="0.25">
      <c r="A60" s="50"/>
      <c r="B60" s="50"/>
      <c r="C60" s="50"/>
      <c r="D60" s="50"/>
      <c r="E60" s="50"/>
    </row>
    <row r="61" spans="1:5" x14ac:dyDescent="0.25">
      <c r="A61" s="50"/>
      <c r="B61" s="50"/>
      <c r="C61" s="50"/>
      <c r="D61" s="50"/>
      <c r="E61" s="50"/>
    </row>
    <row r="62" spans="1:5" x14ac:dyDescent="0.25">
      <c r="A62" s="50"/>
      <c r="B62" s="50"/>
      <c r="C62" s="50"/>
      <c r="D62" s="50"/>
      <c r="E62" s="50"/>
    </row>
    <row r="63" spans="1:5" x14ac:dyDescent="0.25">
      <c r="A63" s="50"/>
      <c r="B63" s="50"/>
      <c r="C63" s="50"/>
      <c r="D63" s="50"/>
      <c r="E63" s="50"/>
    </row>
    <row r="64" spans="1:5" x14ac:dyDescent="0.25">
      <c r="A64" s="50"/>
      <c r="B64" s="50"/>
      <c r="C64" s="50"/>
      <c r="D64" s="50"/>
      <c r="E64" s="50"/>
    </row>
    <row r="65" spans="1:5" x14ac:dyDescent="0.25">
      <c r="A65" s="50"/>
      <c r="B65" s="50"/>
      <c r="C65" s="50"/>
      <c r="D65" s="50"/>
      <c r="E65" s="50"/>
    </row>
    <row r="66" spans="1:5" x14ac:dyDescent="0.25">
      <c r="A66" s="50"/>
      <c r="B66" s="50"/>
      <c r="C66" s="50"/>
      <c r="D66" s="50"/>
      <c r="E66" s="50"/>
    </row>
    <row r="67" spans="1:5" x14ac:dyDescent="0.25">
      <c r="A67" s="50"/>
      <c r="B67" s="50"/>
      <c r="C67" s="50"/>
      <c r="D67" s="50"/>
      <c r="E67" s="50"/>
    </row>
    <row r="68" spans="1:5" x14ac:dyDescent="0.25">
      <c r="A68" s="50"/>
      <c r="B68" s="50"/>
      <c r="C68" s="50"/>
      <c r="D68" s="50"/>
      <c r="E68" s="50"/>
    </row>
    <row r="69" spans="1:5" x14ac:dyDescent="0.25">
      <c r="A69" s="50"/>
      <c r="B69" s="50"/>
      <c r="C69" s="50"/>
      <c r="D69" s="50"/>
      <c r="E69" s="50"/>
    </row>
    <row r="70" spans="1:5" x14ac:dyDescent="0.25">
      <c r="A70" s="50"/>
      <c r="B70" s="50"/>
      <c r="C70" s="50"/>
      <c r="D70" s="50"/>
      <c r="E70" s="50"/>
    </row>
    <row r="71" spans="1:5" x14ac:dyDescent="0.25">
      <c r="A71" s="50"/>
      <c r="B71" s="50"/>
      <c r="C71" s="50"/>
      <c r="D71" s="50"/>
      <c r="E71" s="50"/>
    </row>
    <row r="72" spans="1:5" x14ac:dyDescent="0.25">
      <c r="A72" s="50"/>
      <c r="B72" s="50"/>
      <c r="C72" s="50"/>
      <c r="D72" s="50"/>
      <c r="E72" s="50"/>
    </row>
    <row r="73" spans="1:5" x14ac:dyDescent="0.25">
      <c r="A73" s="50"/>
      <c r="B73" s="50"/>
      <c r="C73" s="50"/>
      <c r="D73" s="50"/>
      <c r="E73" s="50"/>
    </row>
    <row r="74" spans="1:5" x14ac:dyDescent="0.25">
      <c r="A74" s="50"/>
      <c r="B74" s="50"/>
      <c r="C74" s="50"/>
      <c r="D74" s="50"/>
      <c r="E74" s="50"/>
    </row>
    <row r="75" spans="1:5" x14ac:dyDescent="0.25">
      <c r="A75" s="50"/>
      <c r="B75" s="50"/>
      <c r="C75" s="50"/>
      <c r="D75" s="50"/>
      <c r="E75" s="50"/>
    </row>
    <row r="76" spans="1:5" x14ac:dyDescent="0.25">
      <c r="A76" s="50"/>
      <c r="B76" s="50"/>
      <c r="C76" s="50"/>
      <c r="D76" s="50"/>
      <c r="E76" s="50"/>
    </row>
    <row r="77" spans="1:5" x14ac:dyDescent="0.25">
      <c r="A77" s="50"/>
      <c r="B77" s="50"/>
      <c r="C77" s="50"/>
      <c r="D77" s="50"/>
      <c r="E77" s="50"/>
    </row>
    <row r="78" spans="1:5" x14ac:dyDescent="0.25">
      <c r="A78" s="50"/>
      <c r="B78" s="50"/>
      <c r="C78" s="50"/>
      <c r="D78" s="50"/>
      <c r="E78" s="50"/>
    </row>
    <row r="79" spans="1:5" x14ac:dyDescent="0.25">
      <c r="A79" s="50"/>
      <c r="B79" s="50"/>
      <c r="C79" s="50"/>
      <c r="D79" s="50"/>
      <c r="E79" s="50"/>
    </row>
    <row r="80" spans="1:5" x14ac:dyDescent="0.25">
      <c r="A80" s="50"/>
      <c r="B80" s="50"/>
      <c r="C80" s="50"/>
      <c r="D80" s="50"/>
      <c r="E80" s="50"/>
    </row>
    <row r="81" spans="1:5" x14ac:dyDescent="0.25">
      <c r="A81" s="50"/>
      <c r="B81" s="50"/>
      <c r="C81" s="50"/>
      <c r="D81" s="50"/>
      <c r="E81" s="50"/>
    </row>
    <row r="82" spans="1:5" x14ac:dyDescent="0.25">
      <c r="A82" s="50"/>
      <c r="B82" s="50"/>
      <c r="C82" s="50"/>
      <c r="D82" s="50"/>
      <c r="E82" s="50"/>
    </row>
    <row r="83" spans="1:5" x14ac:dyDescent="0.25">
      <c r="A83" s="50"/>
      <c r="B83" s="50"/>
      <c r="C83" s="50"/>
      <c r="D83" s="50"/>
      <c r="E83" s="50"/>
    </row>
    <row r="84" spans="1:5" x14ac:dyDescent="0.25">
      <c r="A84" s="50"/>
      <c r="B84" s="50"/>
      <c r="C84" s="50"/>
      <c r="D84" s="50"/>
      <c r="E84" s="50"/>
    </row>
    <row r="85" spans="1:5" x14ac:dyDescent="0.25">
      <c r="A85" s="50"/>
      <c r="B85" s="50"/>
      <c r="C85" s="50"/>
      <c r="D85" s="50"/>
      <c r="E85" s="50"/>
    </row>
    <row r="86" spans="1:5" x14ac:dyDescent="0.25">
      <c r="A86" s="50"/>
      <c r="B86" s="50"/>
      <c r="C86" s="50"/>
      <c r="D86" s="50"/>
      <c r="E86" s="50"/>
    </row>
    <row r="87" spans="1:5" x14ac:dyDescent="0.25">
      <c r="A87" s="50"/>
      <c r="B87" s="50"/>
      <c r="C87" s="50"/>
      <c r="D87" s="50"/>
      <c r="E87" s="50"/>
    </row>
    <row r="88" spans="1:5" x14ac:dyDescent="0.25">
      <c r="A88" s="50"/>
      <c r="B88" s="50"/>
      <c r="C88" s="50"/>
      <c r="D88" s="50"/>
      <c r="E88" s="50"/>
    </row>
    <row r="89" spans="1:5" x14ac:dyDescent="0.25">
      <c r="A89" s="50"/>
      <c r="B89" s="50"/>
      <c r="C89" s="50"/>
      <c r="D89" s="50"/>
      <c r="E89" s="50"/>
    </row>
    <row r="90" spans="1:5" x14ac:dyDescent="0.25">
      <c r="A90" s="50"/>
      <c r="B90" s="50"/>
      <c r="C90" s="50"/>
      <c r="D90" s="50"/>
      <c r="E90" s="50"/>
    </row>
    <row r="91" spans="1:5" x14ac:dyDescent="0.25">
      <c r="A91" s="50"/>
      <c r="B91" s="50"/>
      <c r="C91" s="50"/>
      <c r="D91" s="50"/>
      <c r="E91" s="50"/>
    </row>
    <row r="92" spans="1:5" x14ac:dyDescent="0.25">
      <c r="A92" s="50"/>
      <c r="B92" s="50"/>
      <c r="C92" s="50"/>
      <c r="D92" s="50"/>
      <c r="E92" s="50"/>
    </row>
    <row r="93" spans="1:5" x14ac:dyDescent="0.25">
      <c r="A93" s="50"/>
      <c r="B93" s="50"/>
      <c r="C93" s="50"/>
      <c r="D93" s="50"/>
      <c r="E93" s="50"/>
    </row>
    <row r="94" spans="1:5" x14ac:dyDescent="0.25">
      <c r="A94" s="50"/>
      <c r="B94" s="50"/>
      <c r="C94" s="50"/>
      <c r="D94" s="50"/>
      <c r="E94" s="50"/>
    </row>
    <row r="95" spans="1:5" x14ac:dyDescent="0.25">
      <c r="A95" s="50"/>
      <c r="B95" s="50"/>
      <c r="C95" s="50"/>
      <c r="D95" s="50"/>
      <c r="E95" s="50"/>
    </row>
    <row r="96" spans="1:5" x14ac:dyDescent="0.25">
      <c r="A96" s="50"/>
      <c r="B96" s="50"/>
      <c r="C96" s="50"/>
      <c r="D96" s="50"/>
      <c r="E96" s="50"/>
    </row>
    <row r="97" spans="1:5" x14ac:dyDescent="0.25">
      <c r="A97" s="50"/>
      <c r="B97" s="50"/>
      <c r="C97" s="50"/>
      <c r="D97" s="50"/>
      <c r="E97" s="50"/>
    </row>
    <row r="98" spans="1:5" x14ac:dyDescent="0.25">
      <c r="A98" s="50"/>
      <c r="B98" s="50"/>
      <c r="C98" s="50"/>
      <c r="D98" s="50"/>
      <c r="E98" s="50"/>
    </row>
    <row r="99" spans="1:5" x14ac:dyDescent="0.25">
      <c r="A99" s="50"/>
      <c r="B99" s="50"/>
      <c r="C99" s="50"/>
      <c r="D99" s="50"/>
      <c r="E99" s="50"/>
    </row>
    <row r="100" spans="1:5" x14ac:dyDescent="0.25">
      <c r="A100" s="50"/>
      <c r="B100" s="50"/>
      <c r="C100" s="50"/>
      <c r="D100" s="50"/>
      <c r="E100" s="50"/>
    </row>
    <row r="101" spans="1:5" x14ac:dyDescent="0.25">
      <c r="A101" s="50"/>
      <c r="B101" s="50"/>
      <c r="C101" s="50"/>
      <c r="D101" s="50"/>
      <c r="E101" s="50"/>
    </row>
    <row r="102" spans="1:5" x14ac:dyDescent="0.25">
      <c r="A102" s="50"/>
      <c r="B102" s="50"/>
      <c r="C102" s="50"/>
      <c r="D102" s="50"/>
      <c r="E102" s="50"/>
    </row>
    <row r="103" spans="1:5" x14ac:dyDescent="0.25">
      <c r="A103" s="50"/>
      <c r="B103" s="50"/>
      <c r="C103" s="50"/>
      <c r="D103" s="50"/>
      <c r="E103" s="50"/>
    </row>
    <row r="104" spans="1:5" x14ac:dyDescent="0.25">
      <c r="A104" s="50"/>
      <c r="B104" s="50"/>
      <c r="C104" s="50"/>
      <c r="D104" s="50"/>
      <c r="E104" s="50"/>
    </row>
    <row r="105" spans="1:5" x14ac:dyDescent="0.25">
      <c r="A105" s="50"/>
      <c r="B105" s="50"/>
      <c r="C105" s="50"/>
      <c r="D105" s="50"/>
      <c r="E105" s="50"/>
    </row>
    <row r="106" spans="1:5" x14ac:dyDescent="0.25">
      <c r="A106" s="50"/>
      <c r="B106" s="50"/>
      <c r="C106" s="50"/>
      <c r="D106" s="50"/>
      <c r="E106" s="50"/>
    </row>
    <row r="107" spans="1:5" x14ac:dyDescent="0.25">
      <c r="A107" s="50"/>
      <c r="B107" s="50"/>
      <c r="C107" s="50"/>
      <c r="D107" s="50"/>
      <c r="E107" s="50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2"/>
  <sheetViews>
    <sheetView topLeftCell="A28" workbookViewId="0">
      <selection activeCell="A3" sqref="A3"/>
    </sheetView>
  </sheetViews>
  <sheetFormatPr defaultRowHeight="15" x14ac:dyDescent="0.25"/>
  <cols>
    <col min="1" max="1" width="22.85546875" customWidth="1"/>
    <col min="2" max="2" width="17.85546875" customWidth="1"/>
    <col min="3" max="3" width="32.140625" bestFit="1" customWidth="1"/>
    <col min="4" max="4" width="19" customWidth="1"/>
    <col min="5" max="5" width="134.42578125" bestFit="1" customWidth="1"/>
  </cols>
  <sheetData>
    <row r="1" spans="1:5" ht="26.25" x14ac:dyDescent="0.4">
      <c r="B1" s="116" t="s">
        <v>199</v>
      </c>
      <c r="C1" s="116"/>
      <c r="D1" s="116"/>
      <c r="E1" s="116"/>
    </row>
    <row r="2" spans="1:5" x14ac:dyDescent="0.25">
      <c r="A2" s="52" t="s">
        <v>125</v>
      </c>
      <c r="B2" s="52" t="s">
        <v>126</v>
      </c>
      <c r="C2" s="52" t="s">
        <v>131</v>
      </c>
      <c r="D2" s="52" t="s">
        <v>127</v>
      </c>
      <c r="E2" s="53" t="s">
        <v>128</v>
      </c>
    </row>
    <row r="3" spans="1:5" x14ac:dyDescent="0.25">
      <c r="A3" s="49" t="s">
        <v>123</v>
      </c>
      <c r="B3" s="50" t="s">
        <v>33</v>
      </c>
      <c r="C3" s="50" t="s">
        <v>161</v>
      </c>
      <c r="D3" s="50" t="s">
        <v>159</v>
      </c>
      <c r="E3" s="50" t="s">
        <v>162</v>
      </c>
    </row>
    <row r="4" spans="1:5" x14ac:dyDescent="0.25">
      <c r="A4" s="50"/>
      <c r="B4" s="50" t="s">
        <v>51</v>
      </c>
      <c r="C4" s="50" t="s">
        <v>132</v>
      </c>
      <c r="D4" s="50" t="s">
        <v>159</v>
      </c>
      <c r="E4" s="50" t="s">
        <v>145</v>
      </c>
    </row>
    <row r="5" spans="1:5" x14ac:dyDescent="0.25">
      <c r="A5" s="50"/>
      <c r="B5" s="50"/>
      <c r="C5" s="50"/>
      <c r="D5" s="50"/>
      <c r="E5" s="50"/>
    </row>
    <row r="6" spans="1:5" x14ac:dyDescent="0.25">
      <c r="A6" s="52" t="s">
        <v>125</v>
      </c>
      <c r="B6" s="52" t="s">
        <v>126</v>
      </c>
      <c r="C6" s="52" t="s">
        <v>131</v>
      </c>
      <c r="D6" s="52" t="s">
        <v>127</v>
      </c>
      <c r="E6" s="53" t="s">
        <v>128</v>
      </c>
    </row>
    <row r="7" spans="1:5" x14ac:dyDescent="0.25">
      <c r="A7" s="49" t="s">
        <v>174</v>
      </c>
      <c r="B7" s="50" t="s">
        <v>39</v>
      </c>
      <c r="C7" s="50" t="s">
        <v>132</v>
      </c>
      <c r="D7" s="50" t="s">
        <v>177</v>
      </c>
      <c r="E7" s="50" t="s">
        <v>162</v>
      </c>
    </row>
    <row r="8" spans="1:5" x14ac:dyDescent="0.25">
      <c r="A8" s="50"/>
      <c r="B8" s="50" t="s">
        <v>50</v>
      </c>
      <c r="C8" s="50" t="s">
        <v>175</v>
      </c>
      <c r="D8" s="50" t="s">
        <v>177</v>
      </c>
      <c r="E8" s="50" t="s">
        <v>145</v>
      </c>
    </row>
    <row r="9" spans="1:5" x14ac:dyDescent="0.25">
      <c r="A9" s="50"/>
      <c r="B9" s="50" t="s">
        <v>57</v>
      </c>
      <c r="C9" s="50" t="s">
        <v>176</v>
      </c>
      <c r="D9" s="50" t="s">
        <v>177</v>
      </c>
      <c r="E9" s="50" t="s">
        <v>178</v>
      </c>
    </row>
    <row r="10" spans="1:5" x14ac:dyDescent="0.25">
      <c r="A10" s="50"/>
      <c r="B10" s="50"/>
      <c r="C10" s="50"/>
      <c r="D10" s="50"/>
      <c r="E10" s="50"/>
    </row>
    <row r="11" spans="1:5" x14ac:dyDescent="0.25">
      <c r="A11" s="52" t="s">
        <v>126</v>
      </c>
      <c r="B11" s="52" t="s">
        <v>126</v>
      </c>
      <c r="C11" s="52" t="s">
        <v>131</v>
      </c>
      <c r="D11" s="52" t="s">
        <v>127</v>
      </c>
      <c r="E11" s="53" t="s">
        <v>128</v>
      </c>
    </row>
    <row r="12" spans="1:5" x14ac:dyDescent="0.25">
      <c r="A12" s="49" t="s">
        <v>85</v>
      </c>
      <c r="B12" s="50" t="s">
        <v>32</v>
      </c>
      <c r="C12" s="50" t="s">
        <v>161</v>
      </c>
      <c r="D12" s="50" t="s">
        <v>186</v>
      </c>
      <c r="E12" s="50" t="s">
        <v>197</v>
      </c>
    </row>
    <row r="13" spans="1:5" x14ac:dyDescent="0.25">
      <c r="A13" s="50"/>
      <c r="B13" s="50" t="s">
        <v>12</v>
      </c>
      <c r="C13" s="50" t="s">
        <v>134</v>
      </c>
      <c r="D13" s="50" t="s">
        <v>186</v>
      </c>
      <c r="E13" s="50" t="s">
        <v>209</v>
      </c>
    </row>
    <row r="14" spans="1:5" x14ac:dyDescent="0.25">
      <c r="A14" s="50"/>
      <c r="B14" s="50" t="s">
        <v>21</v>
      </c>
      <c r="C14" s="50" t="s">
        <v>182</v>
      </c>
      <c r="D14" s="50" t="s">
        <v>186</v>
      </c>
      <c r="E14" s="50" t="s">
        <v>198</v>
      </c>
    </row>
    <row r="15" spans="1:5" x14ac:dyDescent="0.25">
      <c r="A15" s="50"/>
      <c r="B15" s="50" t="s">
        <v>46</v>
      </c>
      <c r="C15" s="50" t="s">
        <v>132</v>
      </c>
      <c r="D15" s="50" t="s">
        <v>186</v>
      </c>
      <c r="E15" s="50" t="s">
        <v>145</v>
      </c>
    </row>
    <row r="16" spans="1:5" x14ac:dyDescent="0.25">
      <c r="A16" s="50"/>
      <c r="B16" s="50" t="s">
        <v>52</v>
      </c>
      <c r="C16" s="50" t="s">
        <v>175</v>
      </c>
      <c r="D16" s="50" t="s">
        <v>186</v>
      </c>
      <c r="E16" s="50" t="s">
        <v>145</v>
      </c>
    </row>
    <row r="17" spans="1:5" x14ac:dyDescent="0.25">
      <c r="A17" s="50"/>
      <c r="B17" s="50" t="s">
        <v>55</v>
      </c>
      <c r="C17" s="50" t="s">
        <v>176</v>
      </c>
      <c r="D17" s="50" t="s">
        <v>186</v>
      </c>
      <c r="E17" s="50" t="s">
        <v>145</v>
      </c>
    </row>
    <row r="18" spans="1:5" x14ac:dyDescent="0.25">
      <c r="A18" s="50"/>
      <c r="B18" s="50"/>
      <c r="C18" s="50"/>
      <c r="D18" s="50"/>
      <c r="E18" s="50"/>
    </row>
    <row r="19" spans="1:5" x14ac:dyDescent="0.25">
      <c r="A19" s="52" t="s">
        <v>126</v>
      </c>
      <c r="B19" s="52" t="s">
        <v>126</v>
      </c>
      <c r="C19" s="52" t="s">
        <v>131</v>
      </c>
      <c r="D19" s="52" t="s">
        <v>127</v>
      </c>
      <c r="E19" s="53" t="s">
        <v>128</v>
      </c>
    </row>
    <row r="20" spans="1:5" x14ac:dyDescent="0.25">
      <c r="A20" s="49" t="s">
        <v>87</v>
      </c>
      <c r="B20" s="50" t="s">
        <v>75</v>
      </c>
      <c r="C20" s="50" t="s">
        <v>184</v>
      </c>
      <c r="D20" s="50" t="s">
        <v>187</v>
      </c>
      <c r="E20" s="50" t="s">
        <v>210</v>
      </c>
    </row>
    <row r="21" spans="1:5" x14ac:dyDescent="0.25">
      <c r="A21" s="50"/>
      <c r="B21" s="50" t="s">
        <v>101</v>
      </c>
      <c r="C21" s="50" t="s">
        <v>185</v>
      </c>
      <c r="D21" s="50" t="s">
        <v>187</v>
      </c>
      <c r="E21" s="50" t="s">
        <v>211</v>
      </c>
    </row>
    <row r="22" spans="1:5" x14ac:dyDescent="0.25">
      <c r="A22" s="50"/>
      <c r="B22" s="50"/>
      <c r="C22" s="50"/>
      <c r="D22" s="50"/>
      <c r="E22" s="50"/>
    </row>
    <row r="23" spans="1:5" x14ac:dyDescent="0.25">
      <c r="A23" s="52" t="s">
        <v>126</v>
      </c>
      <c r="B23" s="52" t="s">
        <v>126</v>
      </c>
      <c r="C23" s="52" t="s">
        <v>131</v>
      </c>
      <c r="D23" s="52" t="s">
        <v>127</v>
      </c>
      <c r="E23" s="53" t="s">
        <v>128</v>
      </c>
    </row>
    <row r="24" spans="1:5" x14ac:dyDescent="0.25">
      <c r="A24" s="49" t="s">
        <v>191</v>
      </c>
      <c r="B24" s="50" t="s">
        <v>13</v>
      </c>
      <c r="C24" s="50" t="s">
        <v>134</v>
      </c>
      <c r="D24" s="50" t="s">
        <v>193</v>
      </c>
      <c r="E24" s="50" t="s">
        <v>162</v>
      </c>
    </row>
    <row r="25" spans="1:5" x14ac:dyDescent="0.25">
      <c r="A25" s="50"/>
      <c r="B25" s="50"/>
      <c r="C25" s="50"/>
      <c r="D25" s="50"/>
      <c r="E25" s="50"/>
    </row>
    <row r="26" spans="1:5" x14ac:dyDescent="0.25">
      <c r="A26" s="49" t="s">
        <v>194</v>
      </c>
      <c r="B26" s="50" t="s">
        <v>192</v>
      </c>
      <c r="C26" s="50" t="s">
        <v>195</v>
      </c>
      <c r="D26" s="50" t="s">
        <v>196</v>
      </c>
      <c r="E26" s="50" t="s">
        <v>162</v>
      </c>
    </row>
    <row r="27" spans="1:5" x14ac:dyDescent="0.25">
      <c r="A27" s="50"/>
      <c r="B27" s="50"/>
      <c r="C27" s="50"/>
      <c r="D27" s="50"/>
      <c r="E27" s="50"/>
    </row>
    <row r="28" spans="1:5" x14ac:dyDescent="0.25">
      <c r="A28" s="52" t="s">
        <v>125</v>
      </c>
      <c r="B28" s="52" t="s">
        <v>126</v>
      </c>
      <c r="C28" s="52" t="s">
        <v>131</v>
      </c>
      <c r="D28" s="52" t="s">
        <v>127</v>
      </c>
      <c r="E28" s="53" t="s">
        <v>128</v>
      </c>
    </row>
    <row r="29" spans="1:5" x14ac:dyDescent="0.25">
      <c r="A29" s="49" t="s">
        <v>163</v>
      </c>
      <c r="B29" s="50" t="s">
        <v>17</v>
      </c>
      <c r="C29" s="50" t="s">
        <v>134</v>
      </c>
      <c r="D29" s="50" t="s">
        <v>171</v>
      </c>
      <c r="E29" s="50" t="s">
        <v>165</v>
      </c>
    </row>
    <row r="30" spans="1:5" x14ac:dyDescent="0.25">
      <c r="A30" s="49"/>
      <c r="B30" s="50" t="s">
        <v>37</v>
      </c>
      <c r="C30" s="50" t="s">
        <v>132</v>
      </c>
      <c r="D30" s="50" t="s">
        <v>171</v>
      </c>
      <c r="E30" s="50" t="s">
        <v>162</v>
      </c>
    </row>
    <row r="31" spans="1:5" x14ac:dyDescent="0.25">
      <c r="A31" s="49"/>
      <c r="B31" s="50" t="s">
        <v>65</v>
      </c>
      <c r="C31" s="50" t="s">
        <v>164</v>
      </c>
      <c r="D31" s="50" t="s">
        <v>171</v>
      </c>
      <c r="E31" s="50" t="s">
        <v>145</v>
      </c>
    </row>
    <row r="32" spans="1:5" x14ac:dyDescent="0.25">
      <c r="B32" s="56" t="s">
        <v>18</v>
      </c>
      <c r="C32" s="50" t="s">
        <v>138</v>
      </c>
      <c r="D32" s="50" t="s">
        <v>171</v>
      </c>
      <c r="E32" s="57" t="s">
        <v>172</v>
      </c>
    </row>
    <row r="33" spans="1:5" x14ac:dyDescent="0.25">
      <c r="A33" s="52" t="s">
        <v>125</v>
      </c>
      <c r="B33" s="52" t="s">
        <v>126</v>
      </c>
      <c r="C33" s="52"/>
      <c r="D33" s="52" t="s">
        <v>127</v>
      </c>
      <c r="E33" s="54"/>
    </row>
    <row r="34" spans="1:5" x14ac:dyDescent="0.25">
      <c r="A34" s="49" t="s">
        <v>84</v>
      </c>
      <c r="B34" s="50" t="s">
        <v>167</v>
      </c>
      <c r="C34" s="50" t="s">
        <v>134</v>
      </c>
      <c r="D34" s="50" t="s">
        <v>166</v>
      </c>
      <c r="E34" s="50" t="s">
        <v>137</v>
      </c>
    </row>
    <row r="35" spans="1:5" x14ac:dyDescent="0.25">
      <c r="A35" s="51"/>
      <c r="B35" s="50" t="s">
        <v>19</v>
      </c>
      <c r="C35" s="50" t="s">
        <v>138</v>
      </c>
      <c r="D35" s="50" t="s">
        <v>166</v>
      </c>
      <c r="E35" s="50" t="s">
        <v>137</v>
      </c>
    </row>
    <row r="36" spans="1:5" x14ac:dyDescent="0.25">
      <c r="A36" s="51"/>
      <c r="B36" s="50" t="s">
        <v>53</v>
      </c>
      <c r="C36" s="50" t="s">
        <v>132</v>
      </c>
      <c r="D36" s="50" t="s">
        <v>166</v>
      </c>
      <c r="E36" s="50" t="s">
        <v>145</v>
      </c>
    </row>
    <row r="37" spans="1:5" x14ac:dyDescent="0.25">
      <c r="A37" s="50"/>
      <c r="B37" s="50" t="s">
        <v>59</v>
      </c>
      <c r="C37" s="50" t="s">
        <v>164</v>
      </c>
      <c r="D37" s="50" t="s">
        <v>166</v>
      </c>
      <c r="E37" s="50" t="s">
        <v>145</v>
      </c>
    </row>
    <row r="38" spans="1:5" x14ac:dyDescent="0.25">
      <c r="A38" s="52" t="s">
        <v>125</v>
      </c>
      <c r="B38" s="52" t="s">
        <v>126</v>
      </c>
      <c r="C38" s="52"/>
      <c r="D38" s="52" t="s">
        <v>127</v>
      </c>
      <c r="E38" s="54"/>
    </row>
    <row r="39" spans="1:5" x14ac:dyDescent="0.25">
      <c r="A39" s="49" t="s">
        <v>168</v>
      </c>
      <c r="B39" s="50" t="s">
        <v>10</v>
      </c>
      <c r="C39" s="50" t="s">
        <v>134</v>
      </c>
      <c r="D39" s="50" t="s">
        <v>169</v>
      </c>
      <c r="E39" s="50" t="s">
        <v>173</v>
      </c>
    </row>
    <row r="40" spans="1:5" x14ac:dyDescent="0.25">
      <c r="A40" s="51"/>
      <c r="B40" s="50" t="s">
        <v>58</v>
      </c>
      <c r="C40" s="50" t="s">
        <v>170</v>
      </c>
      <c r="D40" s="50" t="s">
        <v>169</v>
      </c>
      <c r="E40" s="50" t="s">
        <v>145</v>
      </c>
    </row>
    <row r="41" spans="1:5" x14ac:dyDescent="0.25">
      <c r="A41" s="55"/>
      <c r="B41" s="50"/>
      <c r="C41" s="50"/>
      <c r="D41" s="50"/>
      <c r="E41" s="50"/>
    </row>
    <row r="42" spans="1:5" x14ac:dyDescent="0.25">
      <c r="A42" s="51"/>
      <c r="B42" s="50"/>
      <c r="C42" s="50"/>
      <c r="D42" s="50"/>
      <c r="E42" s="50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13 Feb 26</vt:lpstr>
      <vt:lpstr>16 Feb 2026</vt:lpstr>
      <vt:lpstr>17 Feb 2026</vt:lpstr>
      <vt:lpstr>18 Feb 2026</vt:lpstr>
      <vt:lpstr>19 Feb 2026</vt:lpstr>
      <vt:lpstr>23 Feb 2026</vt:lpstr>
      <vt:lpstr>24 Feb 2026</vt:lpstr>
      <vt:lpstr>25 Feb 2026</vt:lpstr>
      <vt:lpstr>26 Feb 2026</vt:lpstr>
      <vt:lpstr>27 Feb 2026</vt:lpstr>
      <vt:lpstr>02 March 2026</vt:lpstr>
      <vt:lpstr>03 March 2026</vt:lpstr>
      <vt:lpstr>04 March 2026</vt:lpstr>
      <vt:lpstr>05 March 2026</vt:lpstr>
      <vt:lpstr>06 March 2026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Gregory Karsten</cp:lastModifiedBy>
  <cp:lastPrinted>2026-03-04T12:53:42Z</cp:lastPrinted>
  <dcterms:created xsi:type="dcterms:W3CDTF">2020-01-17T12:36:29Z</dcterms:created>
  <dcterms:modified xsi:type="dcterms:W3CDTF">2026-03-08T19:31:40Z</dcterms:modified>
</cp:coreProperties>
</file>