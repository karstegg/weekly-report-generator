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africanrainbowminerals-my.sharepoint.com/personal/remarco_joseph_assmang_co_za/Documents/Desktop/"/>
    </mc:Choice>
  </mc:AlternateContent>
  <xr:revisionPtr revIDLastSave="20" documentId="8_{A1F48782-5B61-4798-8DC0-1CEA1660B026}" xr6:coauthVersionLast="47" xr6:coauthVersionMax="47" xr10:uidLastSave="{7406FF4A-0B39-4CC8-BFD2-3C284E4EFF7D}"/>
  <bookViews>
    <workbookView xWindow="-28920" yWindow="-120" windowWidth="29040" windowHeight="15840" xr2:uid="{00000000-000D-0000-FFFF-FFFF00000000}"/>
  </bookViews>
  <sheets>
    <sheet name="Breakdown Report " sheetId="66" r:id="rId1"/>
    <sheet name="MINING" sheetId="67" state="hidden" r:id="rId2"/>
    <sheet name="ENGINEERING" sheetId="68" state="hidden" r:id="rId3"/>
  </sheets>
  <definedNames>
    <definedName name="_xlnm._FilterDatabase" localSheetId="0" hidden="1">'Breakdown Report '!$B$1:$B$82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6" i="66" l="1"/>
  <c r="K16" i="66" l="1"/>
  <c r="L15" i="66"/>
  <c r="L14" i="66"/>
  <c r="L13" i="66"/>
  <c r="L12" i="66"/>
  <c r="L11" i="66"/>
  <c r="L10" i="66"/>
  <c r="L9" i="66"/>
  <c r="L8" i="66"/>
  <c r="L7" i="66"/>
  <c r="L6" i="66"/>
  <c r="L5" i="66"/>
  <c r="L4" i="66"/>
  <c r="L3" i="66"/>
  <c r="L16" i="66" l="1"/>
</calcChain>
</file>

<file path=xl/sharedStrings.xml><?xml version="1.0" encoding="utf-8"?>
<sst xmlns="http://schemas.openxmlformats.org/spreadsheetml/2006/main" count="642" uniqueCount="268">
  <si>
    <t>No</t>
  </si>
  <si>
    <t>Area / Owner</t>
  </si>
  <si>
    <t>TMM No.</t>
  </si>
  <si>
    <t>Liberator Roll On Roll Off</t>
  </si>
  <si>
    <t xml:space="preserve">Maverick King Cab NO Crane      </t>
  </si>
  <si>
    <t>Maverick king Cab c/w Crane</t>
  </si>
  <si>
    <t>Maverick Single cab Jam Pot</t>
  </si>
  <si>
    <t>Maverick 12 Man Trooper</t>
  </si>
  <si>
    <t>Instrumentation</t>
  </si>
  <si>
    <t>LD0377</t>
  </si>
  <si>
    <t>Training Center</t>
  </si>
  <si>
    <t>LD0401</t>
  </si>
  <si>
    <t>LD0405</t>
  </si>
  <si>
    <t>LD0409</t>
  </si>
  <si>
    <t>LD0413</t>
  </si>
  <si>
    <t>LD0421</t>
  </si>
  <si>
    <t>LD0422</t>
  </si>
  <si>
    <t>LD0445</t>
  </si>
  <si>
    <t>LD0452</t>
  </si>
  <si>
    <t>LD0457</t>
  </si>
  <si>
    <t>LD0480</t>
  </si>
  <si>
    <t>LD0481</t>
  </si>
  <si>
    <t>LD0482</t>
  </si>
  <si>
    <t>LD0512</t>
  </si>
  <si>
    <t>LD0520</t>
  </si>
  <si>
    <t>UV0071</t>
  </si>
  <si>
    <t>UV0074</t>
  </si>
  <si>
    <t>UV0075</t>
  </si>
  <si>
    <t>UV0078</t>
  </si>
  <si>
    <t>UV0079</t>
  </si>
  <si>
    <t>UV0081</t>
  </si>
  <si>
    <t>UV0082</t>
  </si>
  <si>
    <t>UV0086</t>
  </si>
  <si>
    <t>UV0088</t>
  </si>
  <si>
    <t>UV0091</t>
  </si>
  <si>
    <t>UV0094</t>
  </si>
  <si>
    <t>UV0100</t>
  </si>
  <si>
    <t>UV0101</t>
  </si>
  <si>
    <t>UV0103</t>
  </si>
  <si>
    <t>LD0569</t>
  </si>
  <si>
    <t>LD0556</t>
  </si>
  <si>
    <t>LD0570</t>
  </si>
  <si>
    <t>LD0573</t>
  </si>
  <si>
    <t>LD0574</t>
  </si>
  <si>
    <t>LD0571</t>
  </si>
  <si>
    <t>LD0572</t>
  </si>
  <si>
    <t>LD0568</t>
  </si>
  <si>
    <t>Remaks /Comment</t>
  </si>
  <si>
    <t>LD0555</t>
  </si>
  <si>
    <t>LD0595</t>
  </si>
  <si>
    <t>LD0604</t>
  </si>
  <si>
    <t>LD0606</t>
  </si>
  <si>
    <t>LD0607</t>
  </si>
  <si>
    <t>LD0608</t>
  </si>
  <si>
    <t>LD0609</t>
  </si>
  <si>
    <t>LD0610</t>
  </si>
  <si>
    <t>LD0611</t>
  </si>
  <si>
    <t>LD0612</t>
  </si>
  <si>
    <t>LD0613</t>
  </si>
  <si>
    <t>LD0614</t>
  </si>
  <si>
    <t>LD0615</t>
  </si>
  <si>
    <t>LD0620</t>
  </si>
  <si>
    <t>LD0627</t>
  </si>
  <si>
    <t>LD0628</t>
  </si>
  <si>
    <t>LD0624</t>
  </si>
  <si>
    <t>LD0625</t>
  </si>
  <si>
    <t>LD0635</t>
  </si>
  <si>
    <t>LD0626</t>
  </si>
  <si>
    <t>BB0002</t>
  </si>
  <si>
    <t>BB0006</t>
  </si>
  <si>
    <t>UV0116</t>
  </si>
  <si>
    <t xml:space="preserve">LABOUR </t>
  </si>
  <si>
    <t xml:space="preserve">Chargehand </t>
  </si>
  <si>
    <t xml:space="preserve">Mech </t>
  </si>
  <si>
    <t xml:space="preserve">Auto </t>
  </si>
  <si>
    <t xml:space="preserve">Available </t>
  </si>
  <si>
    <t xml:space="preserve">Not Available </t>
  </si>
  <si>
    <t>LD0375</t>
  </si>
  <si>
    <t>Engine commision( No comminication between engine and Machine) (SOS - EOS)</t>
  </si>
  <si>
    <t>Roadway</t>
  </si>
  <si>
    <t xml:space="preserve">Itireleng </t>
  </si>
  <si>
    <t>Electricians</t>
  </si>
  <si>
    <t xml:space="preserve">Construction </t>
  </si>
  <si>
    <t xml:space="preserve">Main West </t>
  </si>
  <si>
    <t xml:space="preserve">Security </t>
  </si>
  <si>
    <t xml:space="preserve">Sampling </t>
  </si>
  <si>
    <t xml:space="preserve">Survey </t>
  </si>
  <si>
    <t>LD0319</t>
  </si>
  <si>
    <t xml:space="preserve">Plant Fitter </t>
  </si>
  <si>
    <t xml:space="preserve">Hyd Fitter </t>
  </si>
  <si>
    <t xml:space="preserve">Exploisive </t>
  </si>
  <si>
    <t>BEV</t>
  </si>
  <si>
    <t>Boilermaker</t>
  </si>
  <si>
    <t xml:space="preserve">Geology </t>
  </si>
  <si>
    <t xml:space="preserve">Traimming </t>
  </si>
  <si>
    <t>Drill Shop</t>
  </si>
  <si>
    <t>Mechanics</t>
  </si>
  <si>
    <t xml:space="preserve">Central </t>
  </si>
  <si>
    <t>Rock Engneering</t>
  </si>
  <si>
    <t>SWD</t>
  </si>
  <si>
    <t xml:space="preserve">Manager </t>
  </si>
  <si>
    <t xml:space="preserve">X Cut </t>
  </si>
  <si>
    <t>Sim 2</t>
  </si>
  <si>
    <t>LD0622</t>
  </si>
  <si>
    <t>Logistics</t>
  </si>
  <si>
    <t>LD0465</t>
  </si>
  <si>
    <t xml:space="preserve">OEM Assistance Required / Waiting Parts </t>
  </si>
  <si>
    <t xml:space="preserve">Tyre Bay </t>
  </si>
  <si>
    <t>LD0272</t>
  </si>
  <si>
    <t xml:space="preserve">Ambulance </t>
  </si>
  <si>
    <t>LD0283</t>
  </si>
  <si>
    <t>Sanitec</t>
  </si>
  <si>
    <t>UV0045</t>
  </si>
  <si>
    <t>Requested assistence from OEM.</t>
  </si>
  <si>
    <t>Semi skilled</t>
  </si>
  <si>
    <t>Total</t>
  </si>
  <si>
    <t>Breakdown</t>
  </si>
  <si>
    <t>Maverick Double cab</t>
  </si>
  <si>
    <t>Maverick Man lift</t>
  </si>
  <si>
    <t>Placer dumper</t>
  </si>
  <si>
    <t>Toyota Hilux</t>
  </si>
  <si>
    <t>Toyota Landcruiser</t>
  </si>
  <si>
    <t>Toyota Landcruiser Minespec</t>
  </si>
  <si>
    <t>Bob Cat</t>
  </si>
  <si>
    <t>Bird Machine</t>
  </si>
  <si>
    <t>Availability</t>
  </si>
  <si>
    <t>Description - EOS / Breakdown</t>
  </si>
  <si>
    <t>TOTAL</t>
  </si>
  <si>
    <t>Utility TMM</t>
  </si>
  <si>
    <t>LD0646</t>
  </si>
  <si>
    <t>Section</t>
  </si>
  <si>
    <t>Machine Number</t>
  </si>
  <si>
    <t>Responsible person</t>
  </si>
  <si>
    <t>Status</t>
  </si>
  <si>
    <t>Load &amp; Haul</t>
  </si>
  <si>
    <t>Explosives</t>
  </si>
  <si>
    <t>Model</t>
  </si>
  <si>
    <t xml:space="preserve">Minespec 8 Seater </t>
  </si>
  <si>
    <t>Roadways</t>
  </si>
  <si>
    <t>HPDC Fermel</t>
  </si>
  <si>
    <t>Fair.</t>
  </si>
  <si>
    <t xml:space="preserve">Minespec - Flat deck with high up. </t>
  </si>
  <si>
    <t xml:space="preserve">Good condtion </t>
  </si>
  <si>
    <t xml:space="preserve">Fermel Tropper </t>
  </si>
  <si>
    <t>Christo</t>
  </si>
  <si>
    <t>X-Cut / Sim 2 North</t>
  </si>
  <si>
    <t>Sim 2 South</t>
  </si>
  <si>
    <t xml:space="preserve">Stephen </t>
  </si>
  <si>
    <t>North West / Main West</t>
  </si>
  <si>
    <t xml:space="preserve">Francois </t>
  </si>
  <si>
    <t xml:space="preserve">Excellent condtion </t>
  </si>
  <si>
    <t>Bad condition(Not well taken care off by end users)</t>
  </si>
  <si>
    <t xml:space="preserve">LD0635 </t>
  </si>
  <si>
    <t>Minespec 2 Seater with carrier</t>
  </si>
  <si>
    <t>Not been operational for long time - because we could not get assistence from OEM.</t>
  </si>
  <si>
    <t>Old Land Cruiser(Ambulance)</t>
  </si>
  <si>
    <t xml:space="preserve">Good condition (We change leave springs, U-bolts &amp; front suspenssion, because this vehicle is driven were the are no roads) </t>
  </si>
  <si>
    <t>Jabulani</t>
  </si>
  <si>
    <t>South West</t>
  </si>
  <si>
    <t>Excellent condtion ( Fender /Door need replacement. No iccident/accident report)</t>
  </si>
  <si>
    <t>Good condition (We change leave springs, U-bolts &amp; front suspenssion, because this vehicle is driven were the are no roads) ( Fender /Door need replacement. No iccident/accident report)</t>
  </si>
  <si>
    <t>Good condition (We change leave springs, U-bolts &amp; front suspenssion, because this vehicle is driven were the are no roads)  ( Fender /Door need replacement. No iccident/accident report)</t>
  </si>
  <si>
    <t>Old Land Cruiser(2013)</t>
  </si>
  <si>
    <t xml:space="preserve">LD0319 </t>
  </si>
  <si>
    <t>Tshepo</t>
  </si>
  <si>
    <t>Stephen/Ronald</t>
  </si>
  <si>
    <t xml:space="preserve">Fermel Flat deck With Crane </t>
  </si>
  <si>
    <t>Good Condition</t>
  </si>
  <si>
    <t xml:space="preserve">Electrical </t>
  </si>
  <si>
    <t>Minespec Flat Deck With High-up</t>
  </si>
  <si>
    <t>Fair condition</t>
  </si>
  <si>
    <t xml:space="preserve">Martin </t>
  </si>
  <si>
    <t>LDO452</t>
  </si>
  <si>
    <t xml:space="preserve">Boilermaker </t>
  </si>
  <si>
    <t>Sirk</t>
  </si>
  <si>
    <t xml:space="preserve">Minespec Flat Deck </t>
  </si>
  <si>
    <t xml:space="preserve">Lorenzo </t>
  </si>
  <si>
    <t>Not operational as from July 2025, reason being we installed new Deutz engine(EMR5) and cannot communicate with fermel)</t>
  </si>
  <si>
    <t>Not operational as from 2024 January, reason being we installed new Deutz engine(EMR5) and cannot communicate with fermel)</t>
  </si>
  <si>
    <t xml:space="preserve">Mechanics </t>
  </si>
  <si>
    <t>Minespec Flat Deck</t>
  </si>
  <si>
    <t xml:space="preserve">Minespec Flat Deck With Crane </t>
  </si>
  <si>
    <t>Piet</t>
  </si>
  <si>
    <t>Excellent condtion ( Fender /Door need replacement)</t>
  </si>
  <si>
    <t xml:space="preserve">Shaft </t>
  </si>
  <si>
    <t>Minespec Flat Deck 2 Seater</t>
  </si>
  <si>
    <t>Johan</t>
  </si>
  <si>
    <t xml:space="preserve">Fermel Flat deck  </t>
  </si>
  <si>
    <t>Hilux</t>
  </si>
  <si>
    <t>Hilux (2015)</t>
  </si>
  <si>
    <t>D/C Hilux (2017)</t>
  </si>
  <si>
    <t>Johannes</t>
  </si>
  <si>
    <t xml:space="preserve">Piet </t>
  </si>
  <si>
    <t>Moshala</t>
  </si>
  <si>
    <t xml:space="preserve">Rock Engineering </t>
  </si>
  <si>
    <t>Pelonomi</t>
  </si>
  <si>
    <t xml:space="preserve">Instrumentation </t>
  </si>
  <si>
    <t>LD0474</t>
  </si>
  <si>
    <t xml:space="preserve">Thabo </t>
  </si>
  <si>
    <t>IT</t>
  </si>
  <si>
    <t xml:space="preserve">Hilux </t>
  </si>
  <si>
    <t xml:space="preserve">Links </t>
  </si>
  <si>
    <t>On breakdown (Standing with engine)</t>
  </si>
  <si>
    <t>Fair Condition</t>
  </si>
  <si>
    <t xml:space="preserve">N3 Engineering Transport </t>
  </si>
  <si>
    <t xml:space="preserve">N3 Mining Transport </t>
  </si>
  <si>
    <t xml:space="preserve">Bad condition (We constantly change leave springs, U-bolts &amp; front suspenssion, because this vehicle is driven were the are no roads) </t>
  </si>
  <si>
    <t>Fair Condtion (It was crapped because it reached its life span/ or because of its unreliable condition but it was retrived from scrap yard and put back to production)</t>
  </si>
  <si>
    <t>Fair Condition (Being utilised as delivery vehicle for material)</t>
  </si>
  <si>
    <t>Good condition( Fender /Door need replacement)</t>
  </si>
  <si>
    <t>Good condition ( We change leave springs &amp; U-bolts  because this vehicle is driven were the are no roads) ( Fender /Door need replacement)</t>
  </si>
  <si>
    <t>Not utilized yet(Level 9 Cas)</t>
  </si>
  <si>
    <t xml:space="preserve">Good condition </t>
  </si>
  <si>
    <t xml:space="preserve">Excellent condition </t>
  </si>
  <si>
    <t>Fair Condition(It was standing for long and now its fixed)</t>
  </si>
  <si>
    <t>Fair Condition (Replacing front suspession continuesly)</t>
  </si>
  <si>
    <t>Fair Condition  (Replacing front suspession continuesly)</t>
  </si>
  <si>
    <t>2/3</t>
  </si>
  <si>
    <t>Damaged</t>
  </si>
  <si>
    <t>Remove from U/G</t>
  </si>
  <si>
    <t>Waiting for spares</t>
  </si>
  <si>
    <t>Replace Axle ( SOS - EOS )</t>
  </si>
  <si>
    <t>1 of 1</t>
  </si>
  <si>
    <t>1x annual</t>
  </si>
  <si>
    <t>1/3</t>
  </si>
  <si>
    <t>Bobcat S175</t>
  </si>
  <si>
    <t>Bobcat - S770</t>
  </si>
  <si>
    <t>Hilux LDV 4x4</t>
  </si>
  <si>
    <t>Land Cruiser 4.2 D(Stretcher)</t>
  </si>
  <si>
    <t xml:space="preserve">Land Cruiser 4.2 D </t>
  </si>
  <si>
    <t>Maverick Dble Cab STD Load Bin</t>
  </si>
  <si>
    <t>Toyota Hilux DC 2.4 GD6 SR</t>
  </si>
  <si>
    <t>Fermel Maverick 12 Man Trooper</t>
  </si>
  <si>
    <t>Maverick KingcabFlatdeck with crane</t>
  </si>
  <si>
    <t>Toyota Land Cruiser 79 4.2D</t>
  </si>
  <si>
    <t>Toyota Land Cruiser 79 4.2D(Lube Veh)</t>
  </si>
  <si>
    <t>Toyota Land Cruiser 79 4.2D 8 Man Carrier</t>
  </si>
  <si>
    <t>Fermel Kingcab Flatdeck without Crane</t>
  </si>
  <si>
    <t>Fermel Single cab man lift</t>
  </si>
  <si>
    <t>FERMEL UV80 (LIBERATOR ON/OFF)</t>
  </si>
  <si>
    <t>LIBERATOR PLACER DUMPER</t>
  </si>
  <si>
    <t>Fermel Kingcab Flatdeck with Crane</t>
  </si>
  <si>
    <t>Maverick Kingcab Jampot Carrier</t>
  </si>
  <si>
    <t>Fermel Liberator RORO</t>
  </si>
  <si>
    <t xml:space="preserve">Bird -2300 High Lowbed </t>
  </si>
  <si>
    <t>Equip model</t>
  </si>
  <si>
    <t>LD0645</t>
  </si>
  <si>
    <t>LD0643</t>
  </si>
  <si>
    <t>LD0644</t>
  </si>
  <si>
    <t>Waiting for charge valve spool</t>
  </si>
  <si>
    <t>Suspension ( SOS - EOS )</t>
  </si>
  <si>
    <t xml:space="preserve"> 2x annual/ 1x add leave/1xsick</t>
  </si>
  <si>
    <t>1x annual/1x sick</t>
  </si>
  <si>
    <t>4/8</t>
  </si>
  <si>
    <t xml:space="preserve"> Available </t>
  </si>
  <si>
    <t>Door sensor (SOS - 11:57)</t>
  </si>
  <si>
    <t>Bird flatbed</t>
  </si>
  <si>
    <t>Hydraulics overheating (SOS - EOS)</t>
  </si>
  <si>
    <t>29/01/2025 DAY SHIFT REPORT</t>
  </si>
  <si>
    <t>Engine Cut off (SOS - EOS)</t>
  </si>
  <si>
    <t>Not starting (SOS - 11:06)</t>
  </si>
  <si>
    <t>Door not closing and diesel filler pipe (SOS - 11:23)</t>
  </si>
  <si>
    <t>Speed sensor (09:48 - EOS)</t>
  </si>
  <si>
    <t>Machine not at location</t>
  </si>
  <si>
    <t>CV joint (11:21 - EOS)</t>
  </si>
  <si>
    <t>Nerospec (13:27 - EOS)</t>
  </si>
  <si>
    <t>Nerospec ( SOS - 08:11 )</t>
  </si>
  <si>
    <t>Nerospec (SOS - 08:36)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</si>
</sst>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&quot;#,##0;[Red]\-&quot;R&quot;#,##0"/>
    <numFmt numFmtId="43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2" tint="-0.89999084444715716"/>
      <name val="Calibri"/>
      <family val="2"/>
    </font>
    <font>
      <b/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0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0" fontId="4" fillId="0" borderId="0"/>
    <xf numFmtId="0" fontId="6" fillId="0" borderId="0"/>
    <xf numFmtId="9" fontId="2" fillId="0" borderId="0" applyFont="0" applyFill="0" applyBorder="0" applyAlignment="0" applyProtection="0"/>
    <xf numFmtId="0" fontId="11" fillId="16" borderId="0" applyNumberFormat="0" applyBorder="0" applyAlignment="0" applyProtection="0"/>
    <xf numFmtId="0" fontId="12" fillId="17" borderId="0" applyNumberFormat="0" applyBorder="0" applyAlignment="0" applyProtection="0"/>
  </cellStyleXfs>
  <cellXfs count="129">
    <xf numFmtId="0" fontId="0" fillId="0" borderId="0" xfId="0"/>
    <xf numFmtId="0" fontId="3" fillId="2" borderId="4" xfId="0" applyFont="1" applyFill="1" applyBorder="1" applyAlignment="1">
      <alignment horizontal="center"/>
    </xf>
    <xf numFmtId="49" fontId="1" fillId="0" borderId="0" xfId="0" applyNumberFormat="1" applyFont="1" applyFill="1" applyBorder="1"/>
    <xf numFmtId="0" fontId="0" fillId="0" borderId="6" xfId="0" applyFont="1" applyFill="1" applyBorder="1" applyAlignment="1">
      <alignment horizontal="center"/>
    </xf>
    <xf numFmtId="0" fontId="0" fillId="0" borderId="0" xfId="0" applyBorder="1"/>
    <xf numFmtId="0" fontId="5" fillId="0" borderId="0" xfId="0" applyFont="1" applyFill="1" applyBorder="1" applyAlignment="1">
      <alignment horizontal="center"/>
    </xf>
    <xf numFmtId="0" fontId="0" fillId="0" borderId="0" xfId="0" applyFont="1" applyFill="1" applyBorder="1"/>
    <xf numFmtId="1" fontId="0" fillId="0" borderId="6" xfId="0" applyNumberFormat="1" applyFont="1" applyFill="1" applyBorder="1" applyAlignment="1">
      <alignment horizontal="center"/>
    </xf>
    <xf numFmtId="0" fontId="0" fillId="0" borderId="9" xfId="0" applyFont="1" applyFill="1" applyBorder="1"/>
    <xf numFmtId="1" fontId="0" fillId="0" borderId="9" xfId="0" applyNumberFormat="1" applyFont="1" applyFill="1" applyBorder="1"/>
    <xf numFmtId="0" fontId="3" fillId="2" borderId="14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8" fillId="0" borderId="15" xfId="0" applyFont="1" applyBorder="1" applyAlignment="1" applyProtection="1">
      <alignment horizontal="center" vertical="center" wrapText="1" readingOrder="1"/>
      <protection locked="0"/>
    </xf>
    <xf numFmtId="0" fontId="6" fillId="0" borderId="0" xfId="0" applyFont="1" applyAlignment="1">
      <alignment horizontal="center" vertical="center"/>
    </xf>
    <xf numFmtId="0" fontId="6" fillId="9" borderId="2" xfId="0" applyFont="1" applyFill="1" applyBorder="1" applyAlignment="1">
      <alignment horizontal="center" vertical="center" readingOrder="1"/>
    </xf>
    <xf numFmtId="0" fontId="6" fillId="9" borderId="6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 readingOrder="1"/>
    </xf>
    <xf numFmtId="0" fontId="6" fillId="11" borderId="6" xfId="0" applyFont="1" applyFill="1" applyBorder="1" applyAlignment="1">
      <alignment horizontal="center" vertical="center" readingOrder="1"/>
    </xf>
    <xf numFmtId="1" fontId="0" fillId="10" borderId="1" xfId="0" applyNumberFormat="1" applyFont="1" applyFill="1" applyBorder="1" applyAlignment="1">
      <alignment horizontal="center"/>
    </xf>
    <xf numFmtId="0" fontId="0" fillId="0" borderId="6" xfId="0" applyFont="1" applyBorder="1" applyAlignment="1">
      <alignment horizontal="center"/>
    </xf>
    <xf numFmtId="14" fontId="0" fillId="0" borderId="6" xfId="0" applyNumberFormat="1" applyFont="1" applyFill="1" applyBorder="1" applyAlignment="1">
      <alignment horizontal="center"/>
    </xf>
    <xf numFmtId="1" fontId="0" fillId="0" borderId="12" xfId="0" applyNumberFormat="1" applyFont="1" applyFill="1" applyBorder="1" applyAlignment="1">
      <alignment horizontal="center"/>
    </xf>
    <xf numFmtId="1" fontId="0" fillId="0" borderId="13" xfId="0" applyNumberFormat="1" applyFont="1" applyFill="1" applyBorder="1"/>
    <xf numFmtId="49" fontId="6" fillId="11" borderId="6" xfId="0" applyNumberFormat="1" applyFont="1" applyFill="1" applyBorder="1" applyAlignment="1">
      <alignment horizontal="center" vertical="center" readingOrder="1"/>
    </xf>
    <xf numFmtId="49" fontId="6" fillId="11" borderId="2" xfId="0" applyNumberFormat="1" applyFont="1" applyFill="1" applyBorder="1" applyAlignment="1">
      <alignment horizontal="center" vertical="center" readingOrder="1"/>
    </xf>
    <xf numFmtId="49" fontId="6" fillId="11" borderId="6" xfId="0" applyNumberFormat="1" applyFont="1" applyFill="1" applyBorder="1" applyAlignment="1">
      <alignment horizontal="center" vertical="center"/>
    </xf>
    <xf numFmtId="0" fontId="0" fillId="2" borderId="16" xfId="0" applyFill="1" applyBorder="1"/>
    <xf numFmtId="0" fontId="0" fillId="0" borderId="5" xfId="0" applyBorder="1"/>
    <xf numFmtId="0" fontId="7" fillId="0" borderId="2" xfId="0" applyFont="1" applyBorder="1" applyAlignment="1">
      <alignment horizontal="center" vertical="center" readingOrder="1"/>
    </xf>
    <xf numFmtId="0" fontId="7" fillId="0" borderId="10" xfId="0" applyFont="1" applyBorder="1" applyAlignment="1">
      <alignment horizontal="center" vertical="center" readingOrder="1"/>
    </xf>
    <xf numFmtId="0" fontId="6" fillId="0" borderId="6" xfId="0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/>
    </xf>
    <xf numFmtId="0" fontId="5" fillId="0" borderId="0" xfId="0" quotePrefix="1" applyFont="1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/>
    </xf>
    <xf numFmtId="1" fontId="0" fillId="0" borderId="0" xfId="0" applyNumberFormat="1" applyFont="1" applyFill="1" applyBorder="1"/>
    <xf numFmtId="1" fontId="0" fillId="12" borderId="1" xfId="0" applyNumberFormat="1" applyFont="1" applyFill="1" applyBorder="1" applyAlignment="1">
      <alignment horizontal="center"/>
    </xf>
    <xf numFmtId="0" fontId="0" fillId="13" borderId="17" xfId="0" applyFont="1" applyFill="1" applyBorder="1"/>
    <xf numFmtId="0" fontId="0" fillId="4" borderId="18" xfId="0" applyFont="1" applyFill="1" applyBorder="1"/>
    <xf numFmtId="0" fontId="0" fillId="8" borderId="18" xfId="0" applyFont="1" applyFill="1" applyBorder="1"/>
    <xf numFmtId="0" fontId="0" fillId="14" borderId="18" xfId="0" applyFont="1" applyFill="1" applyBorder="1"/>
    <xf numFmtId="0" fontId="0" fillId="5" borderId="19" xfId="0" applyFont="1" applyFill="1" applyBorder="1"/>
    <xf numFmtId="0" fontId="0" fillId="6" borderId="18" xfId="0" applyFont="1" applyFill="1" applyBorder="1"/>
    <xf numFmtId="0" fontId="0" fillId="7" borderId="18" xfId="0" applyFont="1" applyFill="1" applyBorder="1"/>
    <xf numFmtId="0" fontId="0" fillId="13" borderId="22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0" fillId="8" borderId="23" xfId="0" applyFill="1" applyBorder="1" applyAlignment="1">
      <alignment horizontal="center"/>
    </xf>
    <xf numFmtId="0" fontId="0" fillId="14" borderId="23" xfId="0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0" fillId="6" borderId="23" xfId="0" applyFill="1" applyBorder="1" applyAlignment="1">
      <alignment horizontal="center"/>
    </xf>
    <xf numFmtId="0" fontId="3" fillId="7" borderId="23" xfId="0" applyFont="1" applyFill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0" fillId="13" borderId="3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14" borderId="10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9" fontId="0" fillId="13" borderId="28" xfId="4" applyFont="1" applyFill="1" applyBorder="1" applyAlignment="1">
      <alignment horizontal="center"/>
    </xf>
    <xf numFmtId="9" fontId="0" fillId="4" borderId="28" xfId="4" applyFont="1" applyFill="1" applyBorder="1" applyAlignment="1">
      <alignment horizontal="center"/>
    </xf>
    <xf numFmtId="9" fontId="0" fillId="8" borderId="28" xfId="4" applyFont="1" applyFill="1" applyBorder="1" applyAlignment="1">
      <alignment horizontal="center"/>
    </xf>
    <xf numFmtId="9" fontId="0" fillId="14" borderId="28" xfId="4" applyFont="1" applyFill="1" applyBorder="1" applyAlignment="1">
      <alignment horizontal="center"/>
    </xf>
    <xf numFmtId="9" fontId="0" fillId="5" borderId="28" xfId="4" applyFont="1" applyFill="1" applyBorder="1" applyAlignment="1">
      <alignment horizontal="center"/>
    </xf>
    <xf numFmtId="9" fontId="0" fillId="6" borderId="28" xfId="4" applyFont="1" applyFill="1" applyBorder="1" applyAlignment="1">
      <alignment horizontal="center"/>
    </xf>
    <xf numFmtId="9" fontId="0" fillId="7" borderId="29" xfId="4" applyFont="1" applyFill="1" applyBorder="1" applyAlignment="1">
      <alignment horizontal="center"/>
    </xf>
    <xf numFmtId="0" fontId="0" fillId="13" borderId="19" xfId="0" applyFont="1" applyFill="1" applyBorder="1"/>
    <xf numFmtId="0" fontId="3" fillId="0" borderId="31" xfId="0" applyFont="1" applyBorder="1" applyAlignment="1">
      <alignment horizontal="center"/>
    </xf>
    <xf numFmtId="0" fontId="0" fillId="0" borderId="21" xfId="0" applyBorder="1"/>
    <xf numFmtId="0" fontId="0" fillId="13" borderId="34" xfId="0" applyFill="1" applyBorder="1" applyAlignment="1">
      <alignment horizontal="center"/>
    </xf>
    <xf numFmtId="0" fontId="0" fillId="13" borderId="35" xfId="0" applyFill="1" applyBorder="1" applyAlignment="1">
      <alignment horizontal="center"/>
    </xf>
    <xf numFmtId="9" fontId="0" fillId="13" borderId="13" xfId="4" applyFont="1" applyFill="1" applyBorder="1" applyAlignment="1">
      <alignment horizontal="center"/>
    </xf>
    <xf numFmtId="49" fontId="0" fillId="3" borderId="20" xfId="0" applyNumberFormat="1" applyFont="1" applyFill="1" applyBorder="1"/>
    <xf numFmtId="0" fontId="0" fillId="3" borderId="24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9" fontId="0" fillId="3" borderId="11" xfId="4" applyFont="1" applyFill="1" applyBorder="1" applyAlignment="1">
      <alignment horizontal="center"/>
    </xf>
    <xf numFmtId="0" fontId="3" fillId="15" borderId="32" xfId="0" applyFont="1" applyFill="1" applyBorder="1"/>
    <xf numFmtId="0" fontId="3" fillId="15" borderId="33" xfId="0" applyFont="1" applyFill="1" applyBorder="1" applyAlignment="1">
      <alignment horizontal="center"/>
    </xf>
    <xf numFmtId="0" fontId="3" fillId="15" borderId="27" xfId="0" applyFont="1" applyFill="1" applyBorder="1" applyAlignment="1">
      <alignment horizontal="center"/>
    </xf>
    <xf numFmtId="9" fontId="3" fillId="15" borderId="30" xfId="4" applyFont="1" applyFill="1" applyBorder="1" applyAlignment="1">
      <alignment horizontal="center"/>
    </xf>
    <xf numFmtId="0" fontId="0" fillId="0" borderId="5" xfId="0" applyFill="1" applyBorder="1"/>
    <xf numFmtId="0" fontId="0" fillId="0" borderId="0" xfId="0" applyFill="1" applyBorder="1"/>
    <xf numFmtId="0" fontId="0" fillId="0" borderId="35" xfId="0" applyFont="1" applyFill="1" applyBorder="1" applyAlignment="1">
      <alignment horizontal="center"/>
    </xf>
    <xf numFmtId="0" fontId="5" fillId="0" borderId="10" xfId="0" applyFont="1" applyFill="1" applyBorder="1" applyAlignment="1">
      <alignment horizontal="center"/>
    </xf>
    <xf numFmtId="0" fontId="0" fillId="0" borderId="10" xfId="0" applyFont="1" applyFill="1" applyBorder="1" applyAlignment="1">
      <alignment horizontal="center"/>
    </xf>
    <xf numFmtId="0" fontId="5" fillId="0" borderId="10" xfId="0" quotePrefix="1" applyFont="1" applyFill="1" applyBorder="1" applyAlignment="1">
      <alignment horizontal="center"/>
    </xf>
    <xf numFmtId="1" fontId="0" fillId="12" borderId="12" xfId="0" applyNumberFormat="1" applyFont="1" applyFill="1" applyBorder="1" applyAlignment="1">
      <alignment horizontal="center"/>
    </xf>
    <xf numFmtId="1" fontId="0" fillId="0" borderId="36" xfId="0" applyNumberFormat="1" applyFont="1" applyFill="1" applyBorder="1" applyAlignment="1">
      <alignment horizontal="center"/>
    </xf>
    <xf numFmtId="1" fontId="0" fillId="0" borderId="11" xfId="0" applyNumberFormat="1" applyFont="1" applyFill="1" applyBorder="1"/>
    <xf numFmtId="1" fontId="0" fillId="12" borderId="37" xfId="0" applyNumberFormat="1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5" fillId="0" borderId="38" xfId="0" quotePrefix="1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3" xfId="0" quotePrefix="1" applyFont="1" applyBorder="1" applyAlignment="1">
      <alignment horizontal="center"/>
    </xf>
    <xf numFmtId="0" fontId="0" fillId="0" borderId="7" xfId="0" applyFill="1" applyBorder="1"/>
    <xf numFmtId="0" fontId="5" fillId="0" borderId="24" xfId="0" quotePrefix="1" applyFont="1" applyBorder="1" applyAlignment="1">
      <alignment horizontal="center"/>
    </xf>
    <xf numFmtId="0" fontId="3" fillId="0" borderId="6" xfId="0" applyFont="1" applyBorder="1"/>
    <xf numFmtId="0" fontId="0" fillId="0" borderId="6" xfId="0" applyBorder="1"/>
    <xf numFmtId="6" fontId="0" fillId="0" borderId="6" xfId="0" applyNumberFormat="1" applyBorder="1" applyAlignment="1">
      <alignment horizontal="left"/>
    </xf>
    <xf numFmtId="0" fontId="0" fillId="0" borderId="6" xfId="0" applyFill="1" applyBorder="1"/>
    <xf numFmtId="0" fontId="9" fillId="2" borderId="6" xfId="0" applyFont="1" applyFill="1" applyBorder="1" applyAlignment="1">
      <alignment vertical="center" wrapText="1"/>
    </xf>
    <xf numFmtId="0" fontId="3" fillId="2" borderId="6" xfId="0" applyFont="1" applyFill="1" applyBorder="1"/>
    <xf numFmtId="0" fontId="0" fillId="2" borderId="6" xfId="0" applyFill="1" applyBorder="1"/>
    <xf numFmtId="6" fontId="3" fillId="0" borderId="6" xfId="0" applyNumberFormat="1" applyFont="1" applyBorder="1" applyAlignment="1">
      <alignment horizontal="left"/>
    </xf>
    <xf numFmtId="0" fontId="0" fillId="0" borderId="1" xfId="0" applyBorder="1"/>
    <xf numFmtId="0" fontId="0" fillId="0" borderId="40" xfId="0" applyFill="1" applyBorder="1"/>
    <xf numFmtId="16" fontId="6" fillId="11" borderId="6" xfId="0" applyNumberFormat="1" applyFont="1" applyFill="1" applyBorder="1" applyAlignment="1">
      <alignment horizontal="center" vertical="center"/>
    </xf>
    <xf numFmtId="0" fontId="7" fillId="0" borderId="41" xfId="0" applyFont="1" applyBorder="1" applyAlignment="1">
      <alignment horizontal="center" vertical="center" readingOrder="1"/>
    </xf>
    <xf numFmtId="0" fontId="13" fillId="0" borderId="6" xfId="0" applyFont="1" applyBorder="1" applyAlignment="1">
      <alignment horizontal="center"/>
    </xf>
    <xf numFmtId="0" fontId="6" fillId="9" borderId="6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6" xfId="0" quotePrefix="1" applyFont="1" applyBorder="1" applyAlignment="1">
      <alignment horizontal="center" vertical="top"/>
    </xf>
    <xf numFmtId="0" fontId="6" fillId="9" borderId="6" xfId="5" applyFont="1" applyFill="1" applyBorder="1" applyAlignment="1">
      <alignment horizontal="center"/>
    </xf>
    <xf numFmtId="0" fontId="6" fillId="0" borderId="6" xfId="5" applyFont="1" applyFill="1" applyBorder="1" applyAlignment="1">
      <alignment horizontal="center"/>
    </xf>
    <xf numFmtId="49" fontId="13" fillId="0" borderId="6" xfId="0" applyNumberFormat="1" applyFont="1" applyBorder="1" applyAlignment="1">
      <alignment horizontal="center"/>
    </xf>
    <xf numFmtId="0" fontId="6" fillId="0" borderId="6" xfId="0" quotePrefix="1" applyFont="1" applyBorder="1" applyAlignment="1">
      <alignment horizontal="center"/>
    </xf>
    <xf numFmtId="0" fontId="13" fillId="0" borderId="6" xfId="0" quotePrefix="1" applyFont="1" applyBorder="1" applyAlignment="1">
      <alignment horizontal="center"/>
    </xf>
    <xf numFmtId="0" fontId="6" fillId="9" borderId="6" xfId="6" quotePrefix="1" applyFont="1" applyFill="1" applyBorder="1" applyAlignment="1">
      <alignment horizontal="center"/>
    </xf>
    <xf numFmtId="0" fontId="6" fillId="9" borderId="6" xfId="6" applyFont="1" applyFill="1" applyBorder="1" applyAlignment="1">
      <alignment horizontal="center"/>
    </xf>
    <xf numFmtId="0" fontId="0" fillId="0" borderId="26" xfId="0" applyFill="1" applyBorder="1"/>
    <xf numFmtId="0" fontId="5" fillId="0" borderId="42" xfId="0" quotePrefix="1" applyFont="1" applyBorder="1" applyAlignment="1">
      <alignment horizontal="center"/>
    </xf>
    <xf numFmtId="0" fontId="5" fillId="0" borderId="43" xfId="0" quotePrefix="1" applyFont="1" applyFill="1" applyBorder="1" applyAlignment="1">
      <alignment horizontal="center"/>
    </xf>
    <xf numFmtId="1" fontId="0" fillId="0" borderId="44" xfId="0" applyNumberFormat="1" applyFont="1" applyFill="1" applyBorder="1" applyAlignment="1">
      <alignment horizontal="center"/>
    </xf>
    <xf numFmtId="1" fontId="0" fillId="0" borderId="29" xfId="0" applyNumberFormat="1" applyFont="1" applyFill="1" applyBorder="1"/>
    <xf numFmtId="1" fontId="5" fillId="12" borderId="1" xfId="0" applyNumberFormat="1" applyFont="1" applyFill="1" applyBorder="1" applyAlignment="1">
      <alignment horizontal="center"/>
    </xf>
    <xf numFmtId="0" fontId="10" fillId="0" borderId="39" xfId="0" applyFont="1" applyBorder="1" applyAlignment="1">
      <alignment horizontal="center"/>
    </xf>
  </cellXfs>
  <cellStyles count="7">
    <cellStyle name="Bad" xfId="5" builtinId="27"/>
    <cellStyle name="Comma 2" xfId="1" xr:uid="{00000000-0005-0000-0000-000000000000}"/>
    <cellStyle name="Neutral" xfId="6" builtinId="28"/>
    <cellStyle name="Normal" xfId="0" builtinId="0"/>
    <cellStyle name="Normal 2" xfId="2" xr:uid="{00000000-0005-0000-0000-000002000000}"/>
    <cellStyle name="Normal 4 3" xfId="3" xr:uid="{00000000-0005-0000-0000-000003000000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2"/>
  <sheetViews>
    <sheetView tabSelected="1" topLeftCell="B13" workbookViewId="0">
      <selection activeCell="I20" sqref="I20"/>
    </sheetView>
  </sheetViews>
  <sheetFormatPr defaultRowHeight="15" x14ac:dyDescent="0.25"/>
  <cols>
    <col min="1" max="1" width="3.5703125" bestFit="1" customWidth="1"/>
    <col min="2" max="2" width="15.7109375" bestFit="1" customWidth="1"/>
    <col min="3" max="3" width="37.140625" bestFit="1" customWidth="1"/>
    <col min="4" max="4" width="9.28515625" bestFit="1" customWidth="1"/>
    <col min="5" max="5" width="28.42578125" bestFit="1" customWidth="1"/>
    <col min="6" max="6" width="74.28515625" bestFit="1" customWidth="1"/>
    <col min="7" max="7" width="38.5703125" bestFit="1" customWidth="1"/>
    <col min="9" max="9" width="29" bestFit="1" customWidth="1"/>
    <col min="10" max="10" width="5.42578125" bestFit="1" customWidth="1"/>
    <col min="11" max="12" width="11" bestFit="1" customWidth="1"/>
  </cols>
  <sheetData>
    <row r="1" spans="1:12" ht="16.5" thickBot="1" x14ac:dyDescent="0.3">
      <c r="A1" s="4"/>
      <c r="B1" s="5"/>
      <c r="C1" s="5"/>
      <c r="D1" s="2"/>
      <c r="E1" s="5"/>
      <c r="F1" s="12" t="s">
        <v>258</v>
      </c>
      <c r="G1" s="6"/>
    </row>
    <row r="2" spans="1:12" ht="15.75" thickBot="1" x14ac:dyDescent="0.3">
      <c r="A2" s="27" t="s">
        <v>0</v>
      </c>
      <c r="B2" s="93" t="s">
        <v>1</v>
      </c>
      <c r="C2" s="93" t="s">
        <v>245</v>
      </c>
      <c r="D2" s="91" t="s">
        <v>2</v>
      </c>
      <c r="E2" s="1" t="s">
        <v>126</v>
      </c>
      <c r="F2" s="10" t="s">
        <v>47</v>
      </c>
      <c r="G2" s="11" t="s">
        <v>106</v>
      </c>
      <c r="I2" s="69"/>
      <c r="J2" s="68" t="s">
        <v>115</v>
      </c>
      <c r="K2" s="51" t="s">
        <v>116</v>
      </c>
      <c r="L2" s="59" t="s">
        <v>125</v>
      </c>
    </row>
    <row r="3" spans="1:12" x14ac:dyDescent="0.25">
      <c r="A3" s="28">
        <v>1</v>
      </c>
      <c r="B3" s="94" t="s">
        <v>88</v>
      </c>
      <c r="C3" s="111" t="s">
        <v>225</v>
      </c>
      <c r="D3" s="83" t="s">
        <v>68</v>
      </c>
      <c r="E3" s="87" t="s">
        <v>75</v>
      </c>
      <c r="F3" s="22"/>
      <c r="G3" s="23"/>
      <c r="I3" s="37" t="s">
        <v>117</v>
      </c>
      <c r="J3" s="70">
        <v>11</v>
      </c>
      <c r="K3" s="71">
        <v>2</v>
      </c>
      <c r="L3" s="72">
        <f t="shared" ref="L3:L16" si="0">((J3-K3)/J3)</f>
        <v>0.81818181818181823</v>
      </c>
    </row>
    <row r="4" spans="1:12" x14ac:dyDescent="0.25">
      <c r="A4" s="28">
        <v>2</v>
      </c>
      <c r="B4" s="94" t="s">
        <v>88</v>
      </c>
      <c r="C4" s="111" t="s">
        <v>226</v>
      </c>
      <c r="D4" s="85" t="s">
        <v>69</v>
      </c>
      <c r="E4" s="36" t="s">
        <v>75</v>
      </c>
      <c r="F4" s="7"/>
      <c r="G4" s="9"/>
      <c r="I4" s="67" t="s">
        <v>122</v>
      </c>
      <c r="J4" s="44">
        <v>33</v>
      </c>
      <c r="K4" s="52">
        <v>2</v>
      </c>
      <c r="L4" s="60">
        <f t="shared" si="0"/>
        <v>0.93939393939393945</v>
      </c>
    </row>
    <row r="5" spans="1:12" x14ac:dyDescent="0.25">
      <c r="A5" s="28">
        <v>3</v>
      </c>
      <c r="B5" s="94" t="s">
        <v>107</v>
      </c>
      <c r="C5" s="112" t="s">
        <v>227</v>
      </c>
      <c r="D5" s="85" t="s">
        <v>108</v>
      </c>
      <c r="E5" s="36" t="s">
        <v>75</v>
      </c>
      <c r="F5" s="7"/>
      <c r="G5" s="9"/>
      <c r="I5" s="67" t="s">
        <v>121</v>
      </c>
      <c r="J5" s="44">
        <v>2</v>
      </c>
      <c r="K5" s="52">
        <v>0</v>
      </c>
      <c r="L5" s="60">
        <f t="shared" si="0"/>
        <v>1</v>
      </c>
    </row>
    <row r="6" spans="1:12" x14ac:dyDescent="0.25">
      <c r="A6" s="28">
        <v>4</v>
      </c>
      <c r="B6" s="94" t="s">
        <v>109</v>
      </c>
      <c r="C6" s="113" t="s">
        <v>228</v>
      </c>
      <c r="D6" s="85" t="s">
        <v>110</v>
      </c>
      <c r="E6" s="36" t="s">
        <v>75</v>
      </c>
      <c r="F6" s="7"/>
      <c r="G6" s="9"/>
      <c r="I6" s="67" t="s">
        <v>120</v>
      </c>
      <c r="J6" s="44">
        <v>3</v>
      </c>
      <c r="K6" s="52">
        <v>1</v>
      </c>
      <c r="L6" s="60">
        <f>((J6-K6)/J6)</f>
        <v>0.66666666666666663</v>
      </c>
    </row>
    <row r="7" spans="1:12" x14ac:dyDescent="0.25">
      <c r="A7" s="28">
        <v>5</v>
      </c>
      <c r="B7" s="94" t="s">
        <v>90</v>
      </c>
      <c r="C7" s="113" t="s">
        <v>229</v>
      </c>
      <c r="D7" s="85" t="s">
        <v>87</v>
      </c>
      <c r="E7" s="36" t="s">
        <v>75</v>
      </c>
      <c r="F7" s="7"/>
      <c r="G7" s="9"/>
      <c r="I7" s="38" t="s">
        <v>118</v>
      </c>
      <c r="J7" s="45">
        <v>4</v>
      </c>
      <c r="K7" s="53">
        <v>0</v>
      </c>
      <c r="L7" s="61">
        <f t="shared" si="0"/>
        <v>1</v>
      </c>
    </row>
    <row r="8" spans="1:12" x14ac:dyDescent="0.25">
      <c r="A8" s="28">
        <v>6</v>
      </c>
      <c r="B8" s="95" t="s">
        <v>79</v>
      </c>
      <c r="C8" s="114" t="s">
        <v>227</v>
      </c>
      <c r="D8" s="84" t="s">
        <v>77</v>
      </c>
      <c r="E8" s="36" t="s">
        <v>75</v>
      </c>
      <c r="F8" s="3"/>
      <c r="G8" s="8"/>
      <c r="I8" s="39" t="s">
        <v>3</v>
      </c>
      <c r="J8" s="46">
        <v>5</v>
      </c>
      <c r="K8" s="54">
        <v>1</v>
      </c>
      <c r="L8" s="62">
        <f>((J8-K8)/J8)</f>
        <v>0.8</v>
      </c>
    </row>
    <row r="9" spans="1:12" x14ac:dyDescent="0.25">
      <c r="A9" s="28">
        <v>7</v>
      </c>
      <c r="B9" s="95" t="s">
        <v>91</v>
      </c>
      <c r="C9" s="121" t="s">
        <v>230</v>
      </c>
      <c r="D9" s="84" t="s">
        <v>9</v>
      </c>
      <c r="E9" s="36" t="s">
        <v>75</v>
      </c>
      <c r="F9" s="20"/>
      <c r="G9" s="8"/>
      <c r="I9" s="40" t="s">
        <v>119</v>
      </c>
      <c r="J9" s="47">
        <v>1</v>
      </c>
      <c r="K9" s="55">
        <v>0</v>
      </c>
      <c r="L9" s="63">
        <f t="shared" si="0"/>
        <v>1</v>
      </c>
    </row>
    <row r="10" spans="1:12" x14ac:dyDescent="0.25">
      <c r="A10" s="28">
        <v>8</v>
      </c>
      <c r="B10" s="95" t="s">
        <v>10</v>
      </c>
      <c r="C10" s="113" t="s">
        <v>230</v>
      </c>
      <c r="D10" s="84" t="s">
        <v>11</v>
      </c>
      <c r="E10" s="36" t="s">
        <v>75</v>
      </c>
      <c r="F10" s="20"/>
      <c r="G10" s="8"/>
      <c r="I10" s="41" t="s">
        <v>5</v>
      </c>
      <c r="J10" s="48">
        <v>3</v>
      </c>
      <c r="K10" s="56">
        <v>1</v>
      </c>
      <c r="L10" s="64">
        <f t="shared" si="0"/>
        <v>0.66666666666666663</v>
      </c>
    </row>
    <row r="11" spans="1:12" x14ac:dyDescent="0.25">
      <c r="A11" s="28">
        <v>9</v>
      </c>
      <c r="B11" s="95" t="s">
        <v>92</v>
      </c>
      <c r="C11" s="113" t="s">
        <v>230</v>
      </c>
      <c r="D11" s="84" t="s">
        <v>12</v>
      </c>
      <c r="E11" s="19" t="s">
        <v>76</v>
      </c>
      <c r="F11" s="7" t="s">
        <v>78</v>
      </c>
      <c r="G11" s="8" t="s">
        <v>113</v>
      </c>
      <c r="I11" s="42" t="s">
        <v>6</v>
      </c>
      <c r="J11" s="49">
        <v>1</v>
      </c>
      <c r="K11" s="57">
        <v>0</v>
      </c>
      <c r="L11" s="65">
        <f t="shared" si="0"/>
        <v>1</v>
      </c>
    </row>
    <row r="12" spans="1:12" x14ac:dyDescent="0.25">
      <c r="A12" s="28">
        <v>10</v>
      </c>
      <c r="B12" s="95" t="s">
        <v>80</v>
      </c>
      <c r="C12" s="113" t="s">
        <v>230</v>
      </c>
      <c r="D12" s="84" t="s">
        <v>13</v>
      </c>
      <c r="E12" s="36" t="s">
        <v>75</v>
      </c>
      <c r="F12" s="7"/>
      <c r="G12" s="8"/>
      <c r="I12" s="43" t="s">
        <v>7</v>
      </c>
      <c r="J12" s="50">
        <v>3</v>
      </c>
      <c r="K12" s="58">
        <v>1</v>
      </c>
      <c r="L12" s="66">
        <f t="shared" si="0"/>
        <v>0.66666666666666663</v>
      </c>
    </row>
    <row r="13" spans="1:12" x14ac:dyDescent="0.25">
      <c r="A13" s="28">
        <v>11</v>
      </c>
      <c r="B13" s="96" t="s">
        <v>89</v>
      </c>
      <c r="C13" s="113" t="s">
        <v>230</v>
      </c>
      <c r="D13" s="84" t="s">
        <v>14</v>
      </c>
      <c r="E13" s="36" t="s">
        <v>75</v>
      </c>
      <c r="F13" s="7"/>
      <c r="G13" s="9"/>
      <c r="I13" s="43" t="s">
        <v>124</v>
      </c>
      <c r="J13" s="50">
        <v>1</v>
      </c>
      <c r="K13" s="58">
        <v>1</v>
      </c>
      <c r="L13" s="66">
        <f t="shared" si="0"/>
        <v>0</v>
      </c>
    </row>
    <row r="14" spans="1:12" x14ac:dyDescent="0.25">
      <c r="A14" s="28">
        <v>12</v>
      </c>
      <c r="B14" s="95" t="s">
        <v>8</v>
      </c>
      <c r="C14" s="113" t="s">
        <v>230</v>
      </c>
      <c r="D14" s="84" t="s">
        <v>15</v>
      </c>
      <c r="E14" s="36" t="s">
        <v>75</v>
      </c>
      <c r="F14" s="7"/>
      <c r="G14" s="9"/>
      <c r="I14" s="43" t="s">
        <v>123</v>
      </c>
      <c r="J14" s="50">
        <v>2</v>
      </c>
      <c r="K14" s="58">
        <v>0</v>
      </c>
      <c r="L14" s="66">
        <f t="shared" si="0"/>
        <v>1</v>
      </c>
    </row>
    <row r="15" spans="1:12" ht="15.75" thickBot="1" x14ac:dyDescent="0.3">
      <c r="A15" s="28">
        <v>13</v>
      </c>
      <c r="B15" s="95" t="s">
        <v>93</v>
      </c>
      <c r="C15" s="113" t="s">
        <v>230</v>
      </c>
      <c r="D15" s="84" t="s">
        <v>16</v>
      </c>
      <c r="E15" s="36" t="s">
        <v>75</v>
      </c>
      <c r="F15" s="7"/>
      <c r="G15" s="9"/>
      <c r="I15" s="73" t="s">
        <v>4</v>
      </c>
      <c r="J15" s="74">
        <v>2</v>
      </c>
      <c r="K15" s="75">
        <v>0</v>
      </c>
      <c r="L15" s="76">
        <f t="shared" si="0"/>
        <v>1</v>
      </c>
    </row>
    <row r="16" spans="1:12" ht="15.75" thickBot="1" x14ac:dyDescent="0.3">
      <c r="A16" s="28">
        <v>14</v>
      </c>
      <c r="B16" s="95" t="s">
        <v>81</v>
      </c>
      <c r="C16" s="113" t="s">
        <v>230</v>
      </c>
      <c r="D16" s="84" t="s">
        <v>17</v>
      </c>
      <c r="E16" s="36" t="s">
        <v>75</v>
      </c>
      <c r="F16" s="7"/>
      <c r="G16" s="9"/>
      <c r="I16" s="77" t="s">
        <v>127</v>
      </c>
      <c r="J16" s="78">
        <f>SUM(J3:J15)</f>
        <v>71</v>
      </c>
      <c r="K16" s="79">
        <f>SUM(K3:K15)</f>
        <v>9</v>
      </c>
      <c r="L16" s="80">
        <f t="shared" si="0"/>
        <v>0.87323943661971826</v>
      </c>
    </row>
    <row r="17" spans="1:7" x14ac:dyDescent="0.25">
      <c r="A17" s="28">
        <v>15</v>
      </c>
      <c r="B17" s="94" t="s">
        <v>88</v>
      </c>
      <c r="C17" s="113" t="s">
        <v>230</v>
      </c>
      <c r="D17" s="84" t="s">
        <v>18</v>
      </c>
      <c r="E17" s="36" t="s">
        <v>75</v>
      </c>
      <c r="F17" s="7"/>
      <c r="G17" s="9"/>
    </row>
    <row r="18" spans="1:7" x14ac:dyDescent="0.25">
      <c r="A18" s="28">
        <v>16</v>
      </c>
      <c r="B18" s="95" t="s">
        <v>81</v>
      </c>
      <c r="C18" s="113" t="s">
        <v>230</v>
      </c>
      <c r="D18" s="84" t="s">
        <v>19</v>
      </c>
      <c r="E18" s="36" t="s">
        <v>75</v>
      </c>
      <c r="F18" s="7"/>
      <c r="G18" s="9"/>
    </row>
    <row r="19" spans="1:7" x14ac:dyDescent="0.25">
      <c r="A19" s="28">
        <v>17</v>
      </c>
      <c r="B19" s="95" t="s">
        <v>91</v>
      </c>
      <c r="C19" s="113" t="s">
        <v>231</v>
      </c>
      <c r="D19" s="84" t="s">
        <v>105</v>
      </c>
      <c r="E19" s="19" t="s">
        <v>76</v>
      </c>
      <c r="F19" s="7" t="s">
        <v>218</v>
      </c>
      <c r="G19" s="8" t="s">
        <v>219</v>
      </c>
    </row>
    <row r="20" spans="1:7" x14ac:dyDescent="0.25">
      <c r="A20" s="28">
        <v>18</v>
      </c>
      <c r="B20" s="95" t="s">
        <v>81</v>
      </c>
      <c r="C20" s="113" t="s">
        <v>232</v>
      </c>
      <c r="D20" s="84" t="s">
        <v>20</v>
      </c>
      <c r="E20" s="19" t="s">
        <v>76</v>
      </c>
      <c r="F20" s="7" t="s">
        <v>78</v>
      </c>
      <c r="G20" s="9" t="s">
        <v>113</v>
      </c>
    </row>
    <row r="21" spans="1:7" x14ac:dyDescent="0.25">
      <c r="A21" s="28">
        <v>19</v>
      </c>
      <c r="B21" s="94" t="s">
        <v>88</v>
      </c>
      <c r="C21" s="113" t="s">
        <v>232</v>
      </c>
      <c r="D21" s="84" t="s">
        <v>21</v>
      </c>
      <c r="E21" s="19" t="s">
        <v>75</v>
      </c>
      <c r="F21" s="7" t="s">
        <v>262</v>
      </c>
      <c r="G21" s="9" t="s">
        <v>263</v>
      </c>
    </row>
    <row r="22" spans="1:7" x14ac:dyDescent="0.25">
      <c r="A22" s="28">
        <v>20</v>
      </c>
      <c r="B22" s="95" t="s">
        <v>82</v>
      </c>
      <c r="C22" s="113" t="s">
        <v>232</v>
      </c>
      <c r="D22" s="84" t="s">
        <v>22</v>
      </c>
      <c r="E22" s="36" t="s">
        <v>75</v>
      </c>
      <c r="F22" s="7"/>
      <c r="G22" s="9"/>
    </row>
    <row r="23" spans="1:7" x14ac:dyDescent="0.25">
      <c r="A23" s="28">
        <v>21</v>
      </c>
      <c r="B23" s="96" t="s">
        <v>89</v>
      </c>
      <c r="C23" s="111" t="s">
        <v>233</v>
      </c>
      <c r="D23" s="84" t="s">
        <v>23</v>
      </c>
      <c r="E23" s="36" t="s">
        <v>75</v>
      </c>
      <c r="F23" s="7"/>
      <c r="G23" s="9"/>
    </row>
    <row r="24" spans="1:7" x14ac:dyDescent="0.25">
      <c r="A24" s="28">
        <v>22</v>
      </c>
      <c r="B24" s="95" t="s">
        <v>83</v>
      </c>
      <c r="C24" s="113" t="s">
        <v>230</v>
      </c>
      <c r="D24" s="84" t="s">
        <v>24</v>
      </c>
      <c r="E24" s="19" t="s">
        <v>76</v>
      </c>
      <c r="F24" s="7" t="s">
        <v>250</v>
      </c>
      <c r="G24" s="9"/>
    </row>
    <row r="25" spans="1:7" x14ac:dyDescent="0.25">
      <c r="A25" s="28">
        <v>23</v>
      </c>
      <c r="B25" s="96" t="s">
        <v>89</v>
      </c>
      <c r="C25" s="113" t="s">
        <v>234</v>
      </c>
      <c r="D25" s="84" t="s">
        <v>48</v>
      </c>
      <c r="E25" s="36" t="s">
        <v>75</v>
      </c>
      <c r="F25" s="7"/>
      <c r="G25" s="9"/>
    </row>
    <row r="26" spans="1:7" x14ac:dyDescent="0.25">
      <c r="A26" s="28">
        <v>24</v>
      </c>
      <c r="B26" s="95" t="s">
        <v>94</v>
      </c>
      <c r="C26" s="113" t="s">
        <v>234</v>
      </c>
      <c r="D26" s="84" t="s">
        <v>40</v>
      </c>
      <c r="E26" s="36" t="s">
        <v>75</v>
      </c>
      <c r="F26" s="7"/>
      <c r="G26" s="9"/>
    </row>
    <row r="27" spans="1:7" x14ac:dyDescent="0.25">
      <c r="A27" s="28">
        <v>25</v>
      </c>
      <c r="B27" s="95" t="s">
        <v>95</v>
      </c>
      <c r="C27" s="113" t="s">
        <v>234</v>
      </c>
      <c r="D27" s="84" t="s">
        <v>46</v>
      </c>
      <c r="E27" s="36" t="s">
        <v>75</v>
      </c>
      <c r="F27" s="7"/>
      <c r="G27" s="9"/>
    </row>
    <row r="28" spans="1:7" x14ac:dyDescent="0.25">
      <c r="A28" s="28">
        <v>26</v>
      </c>
      <c r="B28" s="95" t="s">
        <v>81</v>
      </c>
      <c r="C28" s="113" t="s">
        <v>234</v>
      </c>
      <c r="D28" s="84" t="s">
        <v>39</v>
      </c>
      <c r="E28" s="36" t="s">
        <v>75</v>
      </c>
      <c r="F28" s="7"/>
      <c r="G28" s="9"/>
    </row>
    <row r="29" spans="1:7" x14ac:dyDescent="0.25">
      <c r="A29" s="28">
        <v>27</v>
      </c>
      <c r="B29" s="95" t="s">
        <v>96</v>
      </c>
      <c r="C29" s="113" t="s">
        <v>234</v>
      </c>
      <c r="D29" s="84" t="s">
        <v>41</v>
      </c>
      <c r="E29" s="19" t="s">
        <v>75</v>
      </c>
      <c r="F29" s="7" t="s">
        <v>264</v>
      </c>
      <c r="G29" s="9"/>
    </row>
    <row r="30" spans="1:7" x14ac:dyDescent="0.25">
      <c r="A30" s="28">
        <v>28</v>
      </c>
      <c r="B30" s="95" t="s">
        <v>101</v>
      </c>
      <c r="C30" s="113" t="s">
        <v>234</v>
      </c>
      <c r="D30" s="84" t="s">
        <v>44</v>
      </c>
      <c r="E30" s="36" t="s">
        <v>75</v>
      </c>
      <c r="F30" s="7"/>
      <c r="G30" s="9"/>
    </row>
    <row r="31" spans="1:7" x14ac:dyDescent="0.25">
      <c r="A31" s="28">
        <v>29</v>
      </c>
      <c r="B31" s="95" t="s">
        <v>97</v>
      </c>
      <c r="C31" s="113" t="s">
        <v>234</v>
      </c>
      <c r="D31" s="84" t="s">
        <v>45</v>
      </c>
      <c r="E31" s="36" t="s">
        <v>75</v>
      </c>
      <c r="F31" s="7"/>
      <c r="G31" s="9"/>
    </row>
    <row r="32" spans="1:7" x14ac:dyDescent="0.25">
      <c r="A32" s="28">
        <v>30</v>
      </c>
      <c r="B32" s="95" t="s">
        <v>128</v>
      </c>
      <c r="C32" s="113" t="s">
        <v>234</v>
      </c>
      <c r="D32" s="84" t="s">
        <v>42</v>
      </c>
      <c r="E32" s="36" t="s">
        <v>75</v>
      </c>
      <c r="F32" s="7"/>
      <c r="G32" s="9"/>
    </row>
    <row r="33" spans="1:7" x14ac:dyDescent="0.25">
      <c r="A33" s="28">
        <v>31</v>
      </c>
      <c r="B33" s="95" t="s">
        <v>82</v>
      </c>
      <c r="C33" s="115" t="s">
        <v>234</v>
      </c>
      <c r="D33" s="84" t="s">
        <v>43</v>
      </c>
      <c r="E33" s="36" t="s">
        <v>75</v>
      </c>
      <c r="F33" s="7"/>
      <c r="G33" s="9"/>
    </row>
    <row r="34" spans="1:7" x14ac:dyDescent="0.25">
      <c r="A34" s="28">
        <v>32</v>
      </c>
      <c r="B34" s="95" t="s">
        <v>84</v>
      </c>
      <c r="C34" s="115" t="s">
        <v>234</v>
      </c>
      <c r="D34" s="84" t="s">
        <v>49</v>
      </c>
      <c r="E34" s="36" t="s">
        <v>254</v>
      </c>
      <c r="F34" s="7" t="s">
        <v>255</v>
      </c>
      <c r="G34" s="9"/>
    </row>
    <row r="35" spans="1:7" x14ac:dyDescent="0.25">
      <c r="A35" s="28">
        <v>33</v>
      </c>
      <c r="B35" s="95" t="s">
        <v>98</v>
      </c>
      <c r="C35" s="116" t="s">
        <v>234</v>
      </c>
      <c r="D35" s="84" t="s">
        <v>50</v>
      </c>
      <c r="E35" s="36" t="s">
        <v>75</v>
      </c>
      <c r="F35" s="7"/>
      <c r="G35" s="9"/>
    </row>
    <row r="36" spans="1:7" x14ac:dyDescent="0.25">
      <c r="A36" s="28">
        <v>34</v>
      </c>
      <c r="B36" s="95" t="s">
        <v>82</v>
      </c>
      <c r="C36" s="115" t="s">
        <v>234</v>
      </c>
      <c r="D36" s="84" t="s">
        <v>51</v>
      </c>
      <c r="E36" s="36" t="s">
        <v>75</v>
      </c>
      <c r="F36" s="7"/>
      <c r="G36" s="9"/>
    </row>
    <row r="37" spans="1:7" x14ac:dyDescent="0.25">
      <c r="A37" s="28">
        <v>35</v>
      </c>
      <c r="B37" s="95" t="s">
        <v>96</v>
      </c>
      <c r="C37" s="115" t="s">
        <v>235</v>
      </c>
      <c r="D37" s="84" t="s">
        <v>52</v>
      </c>
      <c r="E37" s="19" t="s">
        <v>76</v>
      </c>
      <c r="F37" s="7" t="s">
        <v>265</v>
      </c>
      <c r="G37" s="9"/>
    </row>
    <row r="38" spans="1:7" x14ac:dyDescent="0.25">
      <c r="A38" s="28">
        <v>36</v>
      </c>
      <c r="B38" s="95" t="s">
        <v>94</v>
      </c>
      <c r="C38" s="115" t="s">
        <v>234</v>
      </c>
      <c r="D38" s="84" t="s">
        <v>53</v>
      </c>
      <c r="E38" s="36" t="s">
        <v>75</v>
      </c>
      <c r="F38" s="7"/>
      <c r="G38" s="9"/>
    </row>
    <row r="39" spans="1:7" x14ac:dyDescent="0.25">
      <c r="A39" s="28">
        <v>37</v>
      </c>
      <c r="B39" s="96" t="s">
        <v>89</v>
      </c>
      <c r="C39" s="115" t="s">
        <v>234</v>
      </c>
      <c r="D39" s="84" t="s">
        <v>54</v>
      </c>
      <c r="E39" s="36" t="s">
        <v>75</v>
      </c>
      <c r="F39" s="7"/>
      <c r="G39" s="9"/>
    </row>
    <row r="40" spans="1:7" x14ac:dyDescent="0.25">
      <c r="A40" s="28">
        <v>38</v>
      </c>
      <c r="B40" s="94" t="s">
        <v>88</v>
      </c>
      <c r="C40" s="115" t="s">
        <v>234</v>
      </c>
      <c r="D40" s="84" t="s">
        <v>55</v>
      </c>
      <c r="E40" s="36" t="s">
        <v>75</v>
      </c>
      <c r="F40" s="7"/>
      <c r="G40" s="9"/>
    </row>
    <row r="41" spans="1:7" x14ac:dyDescent="0.25">
      <c r="A41" s="28">
        <v>39</v>
      </c>
      <c r="B41" s="95" t="s">
        <v>83</v>
      </c>
      <c r="C41" s="115" t="s">
        <v>234</v>
      </c>
      <c r="D41" s="84" t="s">
        <v>56</v>
      </c>
      <c r="E41" s="36" t="s">
        <v>75</v>
      </c>
      <c r="F41" s="7"/>
      <c r="G41" s="9"/>
    </row>
    <row r="42" spans="1:7" x14ac:dyDescent="0.25">
      <c r="A42" s="28">
        <v>40</v>
      </c>
      <c r="B42" s="96" t="s">
        <v>89</v>
      </c>
      <c r="C42" s="115" t="s">
        <v>234</v>
      </c>
      <c r="D42" s="84" t="s">
        <v>57</v>
      </c>
      <c r="E42" s="36" t="s">
        <v>75</v>
      </c>
      <c r="F42" s="7" t="s">
        <v>266</v>
      </c>
      <c r="G42" s="9"/>
    </row>
    <row r="43" spans="1:7" x14ac:dyDescent="0.25">
      <c r="A43" s="28">
        <v>41</v>
      </c>
      <c r="B43" s="95" t="s">
        <v>82</v>
      </c>
      <c r="C43" s="115" t="s">
        <v>234</v>
      </c>
      <c r="D43" s="84" t="s">
        <v>58</v>
      </c>
      <c r="E43" s="36" t="s">
        <v>75</v>
      </c>
      <c r="F43" s="7"/>
      <c r="G43" s="8"/>
    </row>
    <row r="44" spans="1:7" x14ac:dyDescent="0.25">
      <c r="A44" s="28">
        <v>42</v>
      </c>
      <c r="B44" s="95" t="s">
        <v>96</v>
      </c>
      <c r="C44" s="115" t="s">
        <v>234</v>
      </c>
      <c r="D44" s="84" t="s">
        <v>59</v>
      </c>
      <c r="E44" s="36" t="s">
        <v>75</v>
      </c>
      <c r="F44" s="7"/>
      <c r="G44" s="9"/>
    </row>
    <row r="45" spans="1:7" x14ac:dyDescent="0.25">
      <c r="A45" s="28">
        <v>43</v>
      </c>
      <c r="B45" s="95" t="s">
        <v>92</v>
      </c>
      <c r="C45" s="115" t="s">
        <v>234</v>
      </c>
      <c r="D45" s="84" t="s">
        <v>60</v>
      </c>
      <c r="E45" s="36" t="s">
        <v>75</v>
      </c>
      <c r="F45" s="7"/>
      <c r="G45" s="9"/>
    </row>
    <row r="46" spans="1:7" x14ac:dyDescent="0.25">
      <c r="A46" s="28">
        <v>44</v>
      </c>
      <c r="B46" s="94" t="s">
        <v>88</v>
      </c>
      <c r="C46" s="115" t="s">
        <v>234</v>
      </c>
      <c r="D46" s="84" t="s">
        <v>61</v>
      </c>
      <c r="E46" s="36" t="s">
        <v>75</v>
      </c>
      <c r="F46" s="7"/>
      <c r="G46" s="9"/>
    </row>
    <row r="47" spans="1:7" x14ac:dyDescent="0.25">
      <c r="A47" s="28">
        <v>45</v>
      </c>
      <c r="B47" s="94" t="s">
        <v>102</v>
      </c>
      <c r="C47" s="115" t="s">
        <v>234</v>
      </c>
      <c r="D47" s="84" t="s">
        <v>103</v>
      </c>
      <c r="E47" s="36" t="s">
        <v>75</v>
      </c>
      <c r="F47" s="7"/>
      <c r="G47" s="9"/>
    </row>
    <row r="48" spans="1:7" x14ac:dyDescent="0.25">
      <c r="A48" s="28">
        <v>46</v>
      </c>
      <c r="B48" s="95" t="s">
        <v>10</v>
      </c>
      <c r="C48" s="115" t="s">
        <v>234</v>
      </c>
      <c r="D48" s="84" t="s">
        <v>64</v>
      </c>
      <c r="E48" s="36" t="s">
        <v>75</v>
      </c>
      <c r="F48" s="7"/>
      <c r="G48" s="9"/>
    </row>
    <row r="49" spans="1:7" x14ac:dyDescent="0.25">
      <c r="A49" s="28">
        <v>47</v>
      </c>
      <c r="B49" s="95" t="s">
        <v>97</v>
      </c>
      <c r="C49" s="115" t="s">
        <v>234</v>
      </c>
      <c r="D49" s="84" t="s">
        <v>65</v>
      </c>
      <c r="E49" s="36" t="s">
        <v>75</v>
      </c>
      <c r="F49" s="7"/>
      <c r="G49" s="9"/>
    </row>
    <row r="50" spans="1:7" x14ac:dyDescent="0.25">
      <c r="A50" s="28">
        <v>48</v>
      </c>
      <c r="B50" s="95" t="s">
        <v>81</v>
      </c>
      <c r="C50" s="115" t="s">
        <v>234</v>
      </c>
      <c r="D50" s="84" t="s">
        <v>67</v>
      </c>
      <c r="E50" s="36" t="s">
        <v>75</v>
      </c>
      <c r="F50" s="7" t="s">
        <v>267</v>
      </c>
      <c r="G50" s="9"/>
    </row>
    <row r="51" spans="1:7" x14ac:dyDescent="0.25">
      <c r="A51" s="28">
        <v>49</v>
      </c>
      <c r="B51" s="95" t="s">
        <v>99</v>
      </c>
      <c r="C51" s="115" t="s">
        <v>234</v>
      </c>
      <c r="D51" s="84" t="s">
        <v>62</v>
      </c>
      <c r="E51" s="36" t="s">
        <v>75</v>
      </c>
      <c r="F51" s="7"/>
      <c r="G51" s="9"/>
    </row>
    <row r="52" spans="1:7" x14ac:dyDescent="0.25">
      <c r="A52" s="28">
        <v>50</v>
      </c>
      <c r="B52" s="95" t="s">
        <v>100</v>
      </c>
      <c r="C52" s="115" t="s">
        <v>234</v>
      </c>
      <c r="D52" s="84" t="s">
        <v>63</v>
      </c>
      <c r="E52" s="36" t="s">
        <v>75</v>
      </c>
      <c r="F52" s="7"/>
      <c r="G52" s="9"/>
    </row>
    <row r="53" spans="1:7" x14ac:dyDescent="0.25">
      <c r="A53" s="28">
        <v>51</v>
      </c>
      <c r="B53" s="95" t="s">
        <v>95</v>
      </c>
      <c r="C53" s="115" t="s">
        <v>234</v>
      </c>
      <c r="D53" s="84" t="s">
        <v>66</v>
      </c>
      <c r="E53" s="36" t="s">
        <v>75</v>
      </c>
      <c r="F53" s="7"/>
      <c r="G53" s="9"/>
    </row>
    <row r="54" spans="1:7" x14ac:dyDescent="0.25">
      <c r="A54" s="28">
        <v>52</v>
      </c>
      <c r="B54" s="95" t="s">
        <v>104</v>
      </c>
      <c r="C54" s="115" t="s">
        <v>256</v>
      </c>
      <c r="D54" s="84" t="s">
        <v>112</v>
      </c>
      <c r="E54" s="19" t="s">
        <v>76</v>
      </c>
      <c r="F54" s="7" t="s">
        <v>259</v>
      </c>
      <c r="G54" s="9"/>
    </row>
    <row r="55" spans="1:7" x14ac:dyDescent="0.25">
      <c r="A55" s="28">
        <v>53</v>
      </c>
      <c r="B55" s="95" t="s">
        <v>92</v>
      </c>
      <c r="C55" s="117" t="s">
        <v>237</v>
      </c>
      <c r="D55" s="84" t="s">
        <v>25</v>
      </c>
      <c r="E55" s="127" t="s">
        <v>75</v>
      </c>
      <c r="F55" s="7"/>
      <c r="G55" s="9"/>
    </row>
    <row r="56" spans="1:7" x14ac:dyDescent="0.25">
      <c r="A56" s="28">
        <v>54</v>
      </c>
      <c r="B56" s="95" t="s">
        <v>85</v>
      </c>
      <c r="C56" s="118" t="s">
        <v>238</v>
      </c>
      <c r="D56" s="84" t="s">
        <v>26</v>
      </c>
      <c r="E56" s="36" t="s">
        <v>75</v>
      </c>
      <c r="F56" s="7" t="s">
        <v>261</v>
      </c>
      <c r="G56" s="9"/>
    </row>
    <row r="57" spans="1:7" x14ac:dyDescent="0.25">
      <c r="A57" s="28">
        <v>55</v>
      </c>
      <c r="B57" s="95" t="s">
        <v>85</v>
      </c>
      <c r="C57" s="118" t="s">
        <v>238</v>
      </c>
      <c r="D57" s="84" t="s">
        <v>27</v>
      </c>
      <c r="E57" s="36" t="s">
        <v>75</v>
      </c>
      <c r="F57" s="7"/>
      <c r="G57" s="9"/>
    </row>
    <row r="58" spans="1:7" x14ac:dyDescent="0.25">
      <c r="A58" s="28">
        <v>56</v>
      </c>
      <c r="B58" s="96" t="s">
        <v>104</v>
      </c>
      <c r="C58" s="118" t="s">
        <v>239</v>
      </c>
      <c r="D58" s="84" t="s">
        <v>28</v>
      </c>
      <c r="E58" s="19" t="s">
        <v>76</v>
      </c>
      <c r="F58" s="7" t="s">
        <v>221</v>
      </c>
      <c r="G58" s="9" t="s">
        <v>220</v>
      </c>
    </row>
    <row r="59" spans="1:7" x14ac:dyDescent="0.25">
      <c r="A59" s="28">
        <v>57</v>
      </c>
      <c r="B59" s="96" t="s">
        <v>104</v>
      </c>
      <c r="C59" s="118" t="s">
        <v>239</v>
      </c>
      <c r="D59" s="84" t="s">
        <v>29</v>
      </c>
      <c r="E59" s="36" t="s">
        <v>75</v>
      </c>
      <c r="F59" s="21"/>
      <c r="G59" s="9"/>
    </row>
    <row r="60" spans="1:7" x14ac:dyDescent="0.25">
      <c r="A60" s="28">
        <v>58</v>
      </c>
      <c r="B60" s="96" t="s">
        <v>104</v>
      </c>
      <c r="C60" s="118" t="s">
        <v>239</v>
      </c>
      <c r="D60" s="84" t="s">
        <v>30</v>
      </c>
      <c r="E60" s="36" t="s">
        <v>75</v>
      </c>
      <c r="F60" s="7" t="s">
        <v>260</v>
      </c>
      <c r="G60" s="9"/>
    </row>
    <row r="61" spans="1:7" x14ac:dyDescent="0.25">
      <c r="A61" s="28">
        <v>59</v>
      </c>
      <c r="B61" s="96" t="s">
        <v>104</v>
      </c>
      <c r="C61" s="118" t="s">
        <v>239</v>
      </c>
      <c r="D61" s="84" t="s">
        <v>31</v>
      </c>
      <c r="E61" s="36" t="s">
        <v>75</v>
      </c>
      <c r="F61" s="21"/>
      <c r="G61" s="9"/>
    </row>
    <row r="62" spans="1:7" x14ac:dyDescent="0.25">
      <c r="A62" s="28">
        <v>60</v>
      </c>
      <c r="B62" s="96" t="s">
        <v>104</v>
      </c>
      <c r="C62" s="117" t="s">
        <v>240</v>
      </c>
      <c r="D62" s="86" t="s">
        <v>32</v>
      </c>
      <c r="E62" s="36" t="s">
        <v>75</v>
      </c>
      <c r="F62" s="7"/>
      <c r="G62" s="9"/>
    </row>
    <row r="63" spans="1:7" x14ac:dyDescent="0.25">
      <c r="A63" s="28">
        <v>61</v>
      </c>
      <c r="B63" s="94" t="s">
        <v>88</v>
      </c>
      <c r="C63" s="117" t="s">
        <v>241</v>
      </c>
      <c r="D63" s="86" t="s">
        <v>33</v>
      </c>
      <c r="E63" s="36" t="s">
        <v>75</v>
      </c>
      <c r="F63" s="7"/>
      <c r="G63" s="9"/>
    </row>
    <row r="64" spans="1:7" x14ac:dyDescent="0.25">
      <c r="A64" s="28">
        <v>62</v>
      </c>
      <c r="B64" s="96" t="s">
        <v>89</v>
      </c>
      <c r="C64" s="117" t="s">
        <v>241</v>
      </c>
      <c r="D64" s="86" t="s">
        <v>34</v>
      </c>
      <c r="E64" s="19" t="s">
        <v>76</v>
      </c>
      <c r="F64" s="7" t="s">
        <v>257</v>
      </c>
      <c r="G64" s="9" t="s">
        <v>249</v>
      </c>
    </row>
    <row r="65" spans="1:7" x14ac:dyDescent="0.25">
      <c r="A65" s="28">
        <v>63</v>
      </c>
      <c r="B65" s="96" t="s">
        <v>128</v>
      </c>
      <c r="C65" s="117" t="s">
        <v>241</v>
      </c>
      <c r="D65" s="86" t="s">
        <v>35</v>
      </c>
      <c r="E65" s="36" t="s">
        <v>75</v>
      </c>
      <c r="F65" s="7"/>
      <c r="G65" s="9"/>
    </row>
    <row r="66" spans="1:7" x14ac:dyDescent="0.25">
      <c r="A66" s="28">
        <v>64</v>
      </c>
      <c r="B66" s="96" t="s">
        <v>86</v>
      </c>
      <c r="C66" s="118" t="s">
        <v>238</v>
      </c>
      <c r="D66" s="86" t="s">
        <v>36</v>
      </c>
      <c r="E66" s="36" t="s">
        <v>75</v>
      </c>
      <c r="F66" s="7"/>
      <c r="G66" s="9"/>
    </row>
    <row r="67" spans="1:7" x14ac:dyDescent="0.25">
      <c r="A67" s="28">
        <v>65</v>
      </c>
      <c r="B67" s="96" t="s">
        <v>86</v>
      </c>
      <c r="C67" s="118" t="s">
        <v>238</v>
      </c>
      <c r="D67" s="86" t="s">
        <v>37</v>
      </c>
      <c r="E67" s="36" t="s">
        <v>75</v>
      </c>
      <c r="F67" s="7"/>
      <c r="G67" s="9"/>
    </row>
    <row r="68" spans="1:7" x14ac:dyDescent="0.25">
      <c r="A68" s="28">
        <v>66</v>
      </c>
      <c r="B68" s="96" t="s">
        <v>111</v>
      </c>
      <c r="C68" s="111" t="s">
        <v>242</v>
      </c>
      <c r="D68" s="86" t="s">
        <v>38</v>
      </c>
      <c r="E68" s="36" t="s">
        <v>75</v>
      </c>
      <c r="F68" s="3"/>
      <c r="G68" s="8"/>
    </row>
    <row r="69" spans="1:7" x14ac:dyDescent="0.25">
      <c r="A69" s="28">
        <v>67</v>
      </c>
      <c r="B69" s="96" t="s">
        <v>104</v>
      </c>
      <c r="C69" s="119" t="s">
        <v>243</v>
      </c>
      <c r="D69" s="86" t="s">
        <v>70</v>
      </c>
      <c r="E69" s="36" t="s">
        <v>75</v>
      </c>
      <c r="F69" s="7"/>
      <c r="G69" s="9"/>
    </row>
    <row r="70" spans="1:7" x14ac:dyDescent="0.25">
      <c r="A70" s="81">
        <v>68</v>
      </c>
      <c r="B70" s="96" t="s">
        <v>104</v>
      </c>
      <c r="C70" s="120" t="s">
        <v>244</v>
      </c>
      <c r="D70" s="86" t="s">
        <v>112</v>
      </c>
      <c r="E70" s="36" t="s">
        <v>75</v>
      </c>
      <c r="F70" s="7"/>
      <c r="G70" s="9"/>
    </row>
    <row r="71" spans="1:7" x14ac:dyDescent="0.25">
      <c r="A71" s="122">
        <v>69</v>
      </c>
      <c r="B71" s="95" t="s">
        <v>81</v>
      </c>
      <c r="C71" s="115" t="s">
        <v>236</v>
      </c>
      <c r="D71" s="124" t="s">
        <v>247</v>
      </c>
      <c r="E71" s="36" t="s">
        <v>75</v>
      </c>
      <c r="F71" s="125"/>
      <c r="G71" s="126"/>
    </row>
    <row r="72" spans="1:7" x14ac:dyDescent="0.25">
      <c r="A72" s="122">
        <v>70</v>
      </c>
      <c r="B72" s="95" t="s">
        <v>81</v>
      </c>
      <c r="C72" s="115" t="s">
        <v>236</v>
      </c>
      <c r="D72" s="124" t="s">
        <v>248</v>
      </c>
      <c r="E72" s="36" t="s">
        <v>75</v>
      </c>
      <c r="F72" s="125"/>
      <c r="G72" s="126"/>
    </row>
    <row r="73" spans="1:7" x14ac:dyDescent="0.25">
      <c r="A73" s="122">
        <v>71</v>
      </c>
      <c r="B73" s="123" t="s">
        <v>91</v>
      </c>
      <c r="C73" s="115" t="s">
        <v>236</v>
      </c>
      <c r="D73" s="124" t="s">
        <v>246</v>
      </c>
      <c r="E73" s="36" t="s">
        <v>75</v>
      </c>
      <c r="F73" s="125"/>
      <c r="G73" s="126"/>
    </row>
    <row r="74" spans="1:7" ht="15.75" thickBot="1" x14ac:dyDescent="0.3">
      <c r="A74" s="97">
        <v>72</v>
      </c>
      <c r="B74" s="98" t="s">
        <v>144</v>
      </c>
      <c r="C74" s="115" t="s">
        <v>236</v>
      </c>
      <c r="D74" s="92" t="s">
        <v>129</v>
      </c>
      <c r="E74" s="90" t="s">
        <v>75</v>
      </c>
      <c r="F74" s="88"/>
      <c r="G74" s="89"/>
    </row>
    <row r="75" spans="1:7" x14ac:dyDescent="0.25">
      <c r="A75" s="82"/>
      <c r="B75" s="32"/>
      <c r="C75" s="32"/>
      <c r="D75" s="33"/>
      <c r="E75" s="33"/>
      <c r="F75" s="34"/>
      <c r="G75" s="35"/>
    </row>
    <row r="77" spans="1:7" x14ac:dyDescent="0.25">
      <c r="B77" s="29" t="s">
        <v>71</v>
      </c>
      <c r="C77" s="110"/>
      <c r="D77" s="30"/>
      <c r="E77" s="13"/>
    </row>
    <row r="78" spans="1:7" x14ac:dyDescent="0.25">
      <c r="B78" s="14"/>
      <c r="C78" s="14"/>
      <c r="D78" s="15"/>
      <c r="E78" s="16"/>
    </row>
    <row r="79" spans="1:7" x14ac:dyDescent="0.25">
      <c r="B79" s="17" t="s">
        <v>72</v>
      </c>
      <c r="C79" s="17"/>
      <c r="D79" s="109" t="s">
        <v>222</v>
      </c>
      <c r="E79" s="16"/>
    </row>
    <row r="80" spans="1:7" x14ac:dyDescent="0.25">
      <c r="B80" s="17" t="s">
        <v>73</v>
      </c>
      <c r="C80" s="17"/>
      <c r="D80" s="26" t="s">
        <v>253</v>
      </c>
      <c r="E80" s="15" t="s">
        <v>251</v>
      </c>
    </row>
    <row r="81" spans="2:6" x14ac:dyDescent="0.25">
      <c r="B81" s="17" t="s">
        <v>74</v>
      </c>
      <c r="C81" s="17"/>
      <c r="D81" s="25" t="s">
        <v>224</v>
      </c>
      <c r="E81" s="31" t="s">
        <v>252</v>
      </c>
    </row>
    <row r="82" spans="2:6" x14ac:dyDescent="0.25">
      <c r="B82" s="18" t="s">
        <v>114</v>
      </c>
      <c r="C82" s="18"/>
      <c r="D82" s="24" t="s">
        <v>217</v>
      </c>
      <c r="E82" s="31" t="s">
        <v>223</v>
      </c>
      <c r="F82" s="13"/>
    </row>
  </sheetData>
  <sortState xmlns:xlrd2="http://schemas.microsoft.com/office/spreadsheetml/2017/richdata2" ref="A3:G70">
    <sortCondition ref="A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7"/>
  <sheetViews>
    <sheetView topLeftCell="A10" workbookViewId="0">
      <selection activeCell="E34" sqref="E34"/>
    </sheetView>
  </sheetViews>
  <sheetFormatPr defaultRowHeight="15" x14ac:dyDescent="0.25"/>
  <cols>
    <col min="1" max="1" width="22.85546875" customWidth="1"/>
    <col min="2" max="2" width="17.85546875" customWidth="1"/>
    <col min="3" max="3" width="27.5703125" customWidth="1"/>
    <col min="4" max="4" width="19" customWidth="1"/>
    <col min="5" max="5" width="134.42578125" bestFit="1" customWidth="1"/>
  </cols>
  <sheetData>
    <row r="1" spans="1:5" ht="26.25" x14ac:dyDescent="0.4">
      <c r="B1" s="128" t="s">
        <v>205</v>
      </c>
      <c r="C1" s="128"/>
      <c r="D1" s="128"/>
      <c r="E1" s="128"/>
    </row>
    <row r="2" spans="1:5" x14ac:dyDescent="0.25">
      <c r="A2" s="103" t="s">
        <v>130</v>
      </c>
      <c r="B2" s="103" t="s">
        <v>131</v>
      </c>
      <c r="C2" s="103" t="s">
        <v>136</v>
      </c>
      <c r="D2" s="103" t="s">
        <v>132</v>
      </c>
      <c r="E2" s="104" t="s">
        <v>133</v>
      </c>
    </row>
    <row r="3" spans="1:5" x14ac:dyDescent="0.25">
      <c r="A3" s="99" t="s">
        <v>134</v>
      </c>
      <c r="B3" s="100" t="s">
        <v>40</v>
      </c>
      <c r="C3" s="100" t="s">
        <v>137</v>
      </c>
      <c r="D3" s="100" t="s">
        <v>165</v>
      </c>
      <c r="E3" s="102" t="s">
        <v>206</v>
      </c>
    </row>
    <row r="4" spans="1:5" x14ac:dyDescent="0.25">
      <c r="A4" s="100"/>
      <c r="B4" s="100" t="s">
        <v>53</v>
      </c>
      <c r="C4" s="100" t="s">
        <v>137</v>
      </c>
      <c r="D4" s="100" t="s">
        <v>165</v>
      </c>
      <c r="E4" s="102" t="s">
        <v>210</v>
      </c>
    </row>
    <row r="5" spans="1:5" x14ac:dyDescent="0.25">
      <c r="A5" s="99" t="s">
        <v>138</v>
      </c>
      <c r="B5" s="100"/>
      <c r="C5" s="100"/>
      <c r="D5" s="100"/>
      <c r="E5" s="102"/>
    </row>
    <row r="6" spans="1:5" x14ac:dyDescent="0.25">
      <c r="A6" s="100"/>
      <c r="B6" s="100" t="s">
        <v>9</v>
      </c>
      <c r="C6" s="100" t="s">
        <v>139</v>
      </c>
      <c r="D6" s="100"/>
      <c r="E6" s="102" t="s">
        <v>140</v>
      </c>
    </row>
    <row r="7" spans="1:5" x14ac:dyDescent="0.25">
      <c r="A7" s="100"/>
      <c r="B7" s="100"/>
      <c r="C7" s="100"/>
      <c r="D7" s="100"/>
      <c r="E7" s="102"/>
    </row>
    <row r="8" spans="1:5" x14ac:dyDescent="0.25">
      <c r="A8" s="103" t="s">
        <v>130</v>
      </c>
      <c r="B8" s="103" t="s">
        <v>131</v>
      </c>
      <c r="C8" s="103" t="s">
        <v>136</v>
      </c>
      <c r="D8" s="103" t="s">
        <v>132</v>
      </c>
      <c r="E8" s="104" t="s">
        <v>133</v>
      </c>
    </row>
    <row r="9" spans="1:5" x14ac:dyDescent="0.25">
      <c r="A9" s="99" t="s">
        <v>135</v>
      </c>
      <c r="B9" s="100" t="s">
        <v>163</v>
      </c>
      <c r="C9" s="100" t="s">
        <v>162</v>
      </c>
      <c r="D9" s="100" t="s">
        <v>147</v>
      </c>
      <c r="E9" s="102" t="s">
        <v>207</v>
      </c>
    </row>
    <row r="10" spans="1:5" x14ac:dyDescent="0.25">
      <c r="A10" s="99"/>
      <c r="B10" s="100"/>
      <c r="C10" s="100"/>
      <c r="D10" s="100"/>
      <c r="E10" s="102"/>
    </row>
    <row r="11" spans="1:5" x14ac:dyDescent="0.25">
      <c r="A11" s="103" t="s">
        <v>130</v>
      </c>
      <c r="B11" s="103" t="s">
        <v>131</v>
      </c>
      <c r="C11" s="103" t="s">
        <v>136</v>
      </c>
      <c r="D11" s="103" t="s">
        <v>132</v>
      </c>
      <c r="E11" s="104" t="s">
        <v>133</v>
      </c>
    </row>
    <row r="12" spans="1:5" x14ac:dyDescent="0.25">
      <c r="A12" s="99" t="s">
        <v>95</v>
      </c>
      <c r="B12" s="100" t="s">
        <v>46</v>
      </c>
      <c r="C12" s="100" t="s">
        <v>137</v>
      </c>
      <c r="D12" s="100" t="s">
        <v>147</v>
      </c>
      <c r="E12" s="102" t="s">
        <v>209</v>
      </c>
    </row>
    <row r="13" spans="1:5" x14ac:dyDescent="0.25">
      <c r="A13" s="99"/>
      <c r="B13" s="100" t="s">
        <v>152</v>
      </c>
      <c r="C13" s="100" t="s">
        <v>153</v>
      </c>
      <c r="D13" s="100" t="s">
        <v>147</v>
      </c>
      <c r="E13" s="102" t="s">
        <v>150</v>
      </c>
    </row>
    <row r="14" spans="1:5" x14ac:dyDescent="0.25">
      <c r="A14" s="99"/>
      <c r="B14" s="100" t="s">
        <v>110</v>
      </c>
      <c r="C14" s="100" t="s">
        <v>155</v>
      </c>
      <c r="D14" s="100" t="s">
        <v>147</v>
      </c>
      <c r="E14" s="102" t="s">
        <v>208</v>
      </c>
    </row>
    <row r="15" spans="1:5" x14ac:dyDescent="0.25">
      <c r="A15" s="99"/>
      <c r="B15" s="100"/>
      <c r="C15" s="100"/>
      <c r="D15" s="100"/>
      <c r="E15" s="102"/>
    </row>
    <row r="16" spans="1:5" x14ac:dyDescent="0.25">
      <c r="A16" s="99" t="s">
        <v>107</v>
      </c>
      <c r="B16" s="100" t="s">
        <v>108</v>
      </c>
      <c r="C16" s="102" t="s">
        <v>188</v>
      </c>
      <c r="D16" s="100" t="s">
        <v>147</v>
      </c>
      <c r="E16" s="102" t="s">
        <v>170</v>
      </c>
    </row>
    <row r="17" spans="1:5" x14ac:dyDescent="0.25">
      <c r="A17" s="99"/>
      <c r="B17" s="100"/>
      <c r="C17" s="102"/>
      <c r="D17" s="100"/>
      <c r="E17" s="102"/>
    </row>
    <row r="18" spans="1:5" x14ac:dyDescent="0.25">
      <c r="A18" s="103" t="s">
        <v>130</v>
      </c>
      <c r="B18" s="103" t="s">
        <v>131</v>
      </c>
      <c r="C18" s="103"/>
      <c r="D18" s="103" t="s">
        <v>132</v>
      </c>
      <c r="E18" s="105"/>
    </row>
    <row r="19" spans="1:5" x14ac:dyDescent="0.25">
      <c r="A19" s="99" t="s">
        <v>82</v>
      </c>
      <c r="B19" s="100" t="s">
        <v>51</v>
      </c>
      <c r="C19" s="100" t="s">
        <v>141</v>
      </c>
      <c r="D19" s="100" t="s">
        <v>144</v>
      </c>
      <c r="E19" s="102" t="s">
        <v>150</v>
      </c>
    </row>
    <row r="20" spans="1:5" x14ac:dyDescent="0.25">
      <c r="A20" s="101"/>
      <c r="B20" s="100" t="s">
        <v>43</v>
      </c>
      <c r="C20" s="100" t="s">
        <v>137</v>
      </c>
      <c r="D20" s="100" t="s">
        <v>144</v>
      </c>
      <c r="E20" s="102" t="s">
        <v>150</v>
      </c>
    </row>
    <row r="21" spans="1:5" x14ac:dyDescent="0.25">
      <c r="A21" s="101"/>
      <c r="B21" s="100" t="s">
        <v>58</v>
      </c>
      <c r="C21" s="100" t="s">
        <v>137</v>
      </c>
      <c r="D21" s="100" t="s">
        <v>144</v>
      </c>
      <c r="E21" s="102" t="s">
        <v>150</v>
      </c>
    </row>
    <row r="22" spans="1:5" x14ac:dyDescent="0.25">
      <c r="A22" s="100"/>
      <c r="B22" s="100" t="s">
        <v>22</v>
      </c>
      <c r="C22" s="100" t="s">
        <v>143</v>
      </c>
      <c r="D22" s="100" t="s">
        <v>144</v>
      </c>
      <c r="E22" s="102" t="s">
        <v>212</v>
      </c>
    </row>
    <row r="23" spans="1:5" x14ac:dyDescent="0.25">
      <c r="A23" s="103" t="s">
        <v>130</v>
      </c>
      <c r="B23" s="103" t="s">
        <v>131</v>
      </c>
      <c r="C23" s="103"/>
      <c r="D23" s="103" t="s">
        <v>132</v>
      </c>
      <c r="E23" s="105"/>
    </row>
    <row r="24" spans="1:5" x14ac:dyDescent="0.25">
      <c r="A24" s="99" t="s">
        <v>145</v>
      </c>
      <c r="B24" s="100" t="s">
        <v>44</v>
      </c>
      <c r="C24" s="100" t="s">
        <v>137</v>
      </c>
      <c r="D24" s="100" t="s">
        <v>144</v>
      </c>
      <c r="E24" s="102" t="s">
        <v>151</v>
      </c>
    </row>
    <row r="25" spans="1:5" x14ac:dyDescent="0.25">
      <c r="A25" s="101"/>
      <c r="B25" s="100"/>
      <c r="C25" s="100"/>
      <c r="D25" s="100"/>
      <c r="E25" s="102"/>
    </row>
    <row r="26" spans="1:5" x14ac:dyDescent="0.25">
      <c r="A26" s="106" t="s">
        <v>146</v>
      </c>
      <c r="B26" s="100" t="s">
        <v>103</v>
      </c>
      <c r="C26" s="100" t="s">
        <v>137</v>
      </c>
      <c r="D26" s="100" t="s">
        <v>144</v>
      </c>
      <c r="E26" s="102" t="s">
        <v>213</v>
      </c>
    </row>
    <row r="27" spans="1:5" x14ac:dyDescent="0.25">
      <c r="A27" s="106"/>
      <c r="B27" s="100"/>
      <c r="C27" s="100"/>
      <c r="D27" s="100"/>
      <c r="E27" s="102"/>
    </row>
    <row r="28" spans="1:5" x14ac:dyDescent="0.25">
      <c r="A28" s="101"/>
      <c r="B28" s="100" t="s">
        <v>129</v>
      </c>
      <c r="C28" s="100" t="s">
        <v>137</v>
      </c>
      <c r="D28" s="100" t="s">
        <v>144</v>
      </c>
      <c r="E28" s="102" t="s">
        <v>211</v>
      </c>
    </row>
    <row r="29" spans="1:5" x14ac:dyDescent="0.25">
      <c r="A29" s="103" t="s">
        <v>130</v>
      </c>
      <c r="B29" s="103" t="s">
        <v>131</v>
      </c>
      <c r="C29" s="103"/>
      <c r="D29" s="103" t="s">
        <v>132</v>
      </c>
      <c r="E29" s="105"/>
    </row>
    <row r="30" spans="1:5" x14ac:dyDescent="0.25">
      <c r="A30" s="106" t="s">
        <v>148</v>
      </c>
      <c r="B30" s="100" t="s">
        <v>56</v>
      </c>
      <c r="C30" s="100" t="s">
        <v>137</v>
      </c>
      <c r="D30" s="100" t="s">
        <v>149</v>
      </c>
      <c r="E30" s="102" t="s">
        <v>160</v>
      </c>
    </row>
    <row r="31" spans="1:5" x14ac:dyDescent="0.25">
      <c r="A31" s="100"/>
      <c r="B31" s="100" t="s">
        <v>24</v>
      </c>
      <c r="C31" s="100" t="s">
        <v>139</v>
      </c>
      <c r="D31" s="100" t="s">
        <v>149</v>
      </c>
      <c r="E31" s="102" t="s">
        <v>154</v>
      </c>
    </row>
    <row r="32" spans="1:5" x14ac:dyDescent="0.25">
      <c r="A32" s="100"/>
      <c r="B32" s="100"/>
      <c r="C32" s="100"/>
      <c r="D32" s="100"/>
      <c r="E32" s="102"/>
    </row>
    <row r="33" spans="1:5" x14ac:dyDescent="0.25">
      <c r="A33" s="103" t="s">
        <v>130</v>
      </c>
      <c r="B33" s="103" t="s">
        <v>131</v>
      </c>
      <c r="C33" s="103"/>
      <c r="D33" s="103" t="s">
        <v>132</v>
      </c>
      <c r="E33" s="105"/>
    </row>
    <row r="34" spans="1:5" x14ac:dyDescent="0.25">
      <c r="A34" s="99" t="s">
        <v>97</v>
      </c>
      <c r="B34" s="100" t="s">
        <v>45</v>
      </c>
      <c r="C34" s="100" t="s">
        <v>137</v>
      </c>
      <c r="D34" s="100" t="s">
        <v>157</v>
      </c>
      <c r="E34" s="102" t="s">
        <v>161</v>
      </c>
    </row>
    <row r="35" spans="1:5" x14ac:dyDescent="0.25">
      <c r="A35" s="100"/>
      <c r="B35" s="100" t="s">
        <v>65</v>
      </c>
      <c r="C35" s="100" t="s">
        <v>137</v>
      </c>
      <c r="D35" s="100" t="s">
        <v>157</v>
      </c>
      <c r="E35" s="102" t="s">
        <v>159</v>
      </c>
    </row>
    <row r="36" spans="1:5" x14ac:dyDescent="0.25">
      <c r="A36" s="99" t="s">
        <v>158</v>
      </c>
      <c r="B36" s="100" t="s">
        <v>62</v>
      </c>
      <c r="C36" s="100" t="s">
        <v>137</v>
      </c>
      <c r="D36" s="100" t="s">
        <v>157</v>
      </c>
      <c r="E36" s="102" t="s">
        <v>156</v>
      </c>
    </row>
    <row r="37" spans="1:5" x14ac:dyDescent="0.25">
      <c r="A37" s="100"/>
      <c r="B37" s="100"/>
      <c r="C37" s="100"/>
      <c r="D37" s="100"/>
      <c r="E37" s="100"/>
    </row>
    <row r="38" spans="1:5" x14ac:dyDescent="0.25">
      <c r="A38" s="103" t="s">
        <v>130</v>
      </c>
      <c r="B38" s="103" t="s">
        <v>131</v>
      </c>
      <c r="C38" s="103"/>
      <c r="D38" s="103" t="s">
        <v>132</v>
      </c>
      <c r="E38" s="105"/>
    </row>
    <row r="39" spans="1:5" x14ac:dyDescent="0.25">
      <c r="A39" s="99" t="s">
        <v>184</v>
      </c>
      <c r="B39" s="100" t="s">
        <v>63</v>
      </c>
      <c r="C39" s="100" t="s">
        <v>185</v>
      </c>
      <c r="D39" s="100" t="s">
        <v>186</v>
      </c>
      <c r="E39" s="102" t="s">
        <v>150</v>
      </c>
    </row>
    <row r="40" spans="1:5" x14ac:dyDescent="0.25">
      <c r="A40" s="100"/>
      <c r="B40" s="100"/>
      <c r="C40" s="100"/>
      <c r="D40" s="100"/>
      <c r="E40" s="100"/>
    </row>
    <row r="41" spans="1:5" x14ac:dyDescent="0.25">
      <c r="A41" s="103" t="s">
        <v>130</v>
      </c>
      <c r="B41" s="103" t="s">
        <v>131</v>
      </c>
      <c r="C41" s="103"/>
      <c r="D41" s="103" t="s">
        <v>132</v>
      </c>
      <c r="E41" s="105"/>
    </row>
    <row r="42" spans="1:5" x14ac:dyDescent="0.25">
      <c r="A42" s="99" t="s">
        <v>93</v>
      </c>
      <c r="B42" s="100" t="s">
        <v>16</v>
      </c>
      <c r="C42" s="100" t="s">
        <v>139</v>
      </c>
      <c r="D42" s="100" t="s">
        <v>193</v>
      </c>
      <c r="E42" s="102" t="s">
        <v>150</v>
      </c>
    </row>
    <row r="43" spans="1:5" x14ac:dyDescent="0.25">
      <c r="A43" s="100"/>
      <c r="B43" s="100"/>
      <c r="C43" s="100"/>
      <c r="D43" s="100"/>
      <c r="E43" s="100"/>
    </row>
    <row r="44" spans="1:5" x14ac:dyDescent="0.25">
      <c r="A44" s="103" t="s">
        <v>130</v>
      </c>
      <c r="B44" s="103" t="s">
        <v>131</v>
      </c>
      <c r="C44" s="103"/>
      <c r="D44" s="103" t="s">
        <v>132</v>
      </c>
      <c r="E44" s="105"/>
    </row>
    <row r="45" spans="1:5" x14ac:dyDescent="0.25">
      <c r="A45" s="99" t="s">
        <v>84</v>
      </c>
      <c r="B45" s="100" t="s">
        <v>49</v>
      </c>
      <c r="C45" s="100" t="s">
        <v>137</v>
      </c>
      <c r="D45" s="100" t="s">
        <v>84</v>
      </c>
      <c r="E45" s="102" t="s">
        <v>150</v>
      </c>
    </row>
    <row r="46" spans="1:5" x14ac:dyDescent="0.25">
      <c r="A46" s="100"/>
      <c r="B46" s="100"/>
      <c r="C46" s="100"/>
      <c r="D46" s="100"/>
      <c r="E46" s="100"/>
    </row>
    <row r="47" spans="1:5" x14ac:dyDescent="0.25">
      <c r="A47" s="103" t="s">
        <v>130</v>
      </c>
      <c r="B47" s="103" t="s">
        <v>131</v>
      </c>
      <c r="C47" s="103"/>
      <c r="D47" s="103" t="s">
        <v>132</v>
      </c>
      <c r="E47" s="105"/>
    </row>
    <row r="48" spans="1:5" x14ac:dyDescent="0.25">
      <c r="A48" s="99" t="s">
        <v>194</v>
      </c>
      <c r="B48" s="100" t="s">
        <v>50</v>
      </c>
      <c r="C48" s="100" t="s">
        <v>137</v>
      </c>
      <c r="D48" s="100" t="s">
        <v>195</v>
      </c>
      <c r="E48" s="102" t="s">
        <v>150</v>
      </c>
    </row>
    <row r="49" spans="1:5" x14ac:dyDescent="0.25">
      <c r="A49" s="100"/>
      <c r="B49" s="100"/>
      <c r="C49" s="100"/>
      <c r="D49" s="100"/>
      <c r="E49" s="100"/>
    </row>
    <row r="50" spans="1:5" x14ac:dyDescent="0.25">
      <c r="A50" s="100"/>
      <c r="B50" s="100"/>
      <c r="C50" s="100"/>
      <c r="D50" s="100"/>
      <c r="E50" s="100"/>
    </row>
    <row r="51" spans="1:5" x14ac:dyDescent="0.25">
      <c r="A51" s="100"/>
      <c r="B51" s="100"/>
      <c r="C51" s="100"/>
      <c r="D51" s="100"/>
      <c r="E51" s="100"/>
    </row>
    <row r="52" spans="1:5" x14ac:dyDescent="0.25">
      <c r="A52" s="100"/>
      <c r="B52" s="100"/>
      <c r="C52" s="100"/>
      <c r="D52" s="100"/>
      <c r="E52" s="100"/>
    </row>
    <row r="53" spans="1:5" x14ac:dyDescent="0.25">
      <c r="A53" s="100"/>
      <c r="B53" s="100"/>
      <c r="C53" s="100"/>
      <c r="D53" s="100"/>
      <c r="E53" s="100"/>
    </row>
    <row r="54" spans="1:5" x14ac:dyDescent="0.25">
      <c r="A54" s="100"/>
      <c r="B54" s="100"/>
      <c r="C54" s="100"/>
      <c r="D54" s="100"/>
      <c r="E54" s="100"/>
    </row>
    <row r="55" spans="1:5" x14ac:dyDescent="0.25">
      <c r="A55" s="100"/>
      <c r="B55" s="100"/>
      <c r="C55" s="100"/>
      <c r="D55" s="100"/>
      <c r="E55" s="100"/>
    </row>
    <row r="56" spans="1:5" x14ac:dyDescent="0.25">
      <c r="A56" s="100"/>
      <c r="B56" s="100"/>
      <c r="C56" s="100"/>
      <c r="D56" s="100"/>
      <c r="E56" s="100"/>
    </row>
    <row r="57" spans="1:5" x14ac:dyDescent="0.25">
      <c r="A57" s="100"/>
      <c r="B57" s="100"/>
      <c r="C57" s="100"/>
      <c r="D57" s="100"/>
      <c r="E57" s="100"/>
    </row>
    <row r="58" spans="1:5" x14ac:dyDescent="0.25">
      <c r="A58" s="100"/>
      <c r="B58" s="100"/>
      <c r="C58" s="100"/>
      <c r="D58" s="100"/>
      <c r="E58" s="100"/>
    </row>
    <row r="59" spans="1:5" x14ac:dyDescent="0.25">
      <c r="A59" s="100"/>
      <c r="B59" s="100"/>
      <c r="C59" s="100"/>
      <c r="D59" s="100"/>
      <c r="E59" s="100"/>
    </row>
    <row r="60" spans="1:5" x14ac:dyDescent="0.25">
      <c r="A60" s="100"/>
      <c r="B60" s="100"/>
      <c r="C60" s="100"/>
      <c r="D60" s="100"/>
      <c r="E60" s="100"/>
    </row>
    <row r="61" spans="1:5" x14ac:dyDescent="0.25">
      <c r="A61" s="100"/>
      <c r="B61" s="100"/>
      <c r="C61" s="100"/>
      <c r="D61" s="100"/>
      <c r="E61" s="100"/>
    </row>
    <row r="62" spans="1:5" x14ac:dyDescent="0.25">
      <c r="A62" s="100"/>
      <c r="B62" s="100"/>
      <c r="C62" s="100"/>
      <c r="D62" s="100"/>
      <c r="E62" s="100"/>
    </row>
    <row r="63" spans="1:5" x14ac:dyDescent="0.25">
      <c r="A63" s="100"/>
      <c r="B63" s="100"/>
      <c r="C63" s="100"/>
      <c r="D63" s="100"/>
      <c r="E63" s="100"/>
    </row>
    <row r="64" spans="1:5" x14ac:dyDescent="0.25">
      <c r="A64" s="100"/>
      <c r="B64" s="100"/>
      <c r="C64" s="100"/>
      <c r="D64" s="100"/>
      <c r="E64" s="100"/>
    </row>
    <row r="65" spans="1:5" x14ac:dyDescent="0.25">
      <c r="A65" s="100"/>
      <c r="B65" s="100"/>
      <c r="C65" s="100"/>
      <c r="D65" s="100"/>
      <c r="E65" s="100"/>
    </row>
    <row r="66" spans="1:5" x14ac:dyDescent="0.25">
      <c r="A66" s="100"/>
      <c r="B66" s="100"/>
      <c r="C66" s="100"/>
      <c r="D66" s="100"/>
      <c r="E66" s="100"/>
    </row>
    <row r="67" spans="1:5" x14ac:dyDescent="0.25">
      <c r="A67" s="100"/>
      <c r="B67" s="100"/>
      <c r="C67" s="100"/>
      <c r="D67" s="100"/>
      <c r="E67" s="100"/>
    </row>
    <row r="68" spans="1:5" x14ac:dyDescent="0.25">
      <c r="A68" s="100"/>
      <c r="B68" s="100"/>
      <c r="C68" s="100"/>
      <c r="D68" s="100"/>
      <c r="E68" s="100"/>
    </row>
    <row r="69" spans="1:5" x14ac:dyDescent="0.25">
      <c r="A69" s="100"/>
      <c r="B69" s="100"/>
      <c r="C69" s="100"/>
      <c r="D69" s="100"/>
      <c r="E69" s="100"/>
    </row>
    <row r="70" spans="1:5" x14ac:dyDescent="0.25">
      <c r="A70" s="100"/>
      <c r="B70" s="100"/>
      <c r="C70" s="100"/>
      <c r="D70" s="100"/>
      <c r="E70" s="100"/>
    </row>
    <row r="71" spans="1:5" x14ac:dyDescent="0.25">
      <c r="A71" s="100"/>
      <c r="B71" s="100"/>
      <c r="C71" s="100"/>
      <c r="D71" s="100"/>
      <c r="E71" s="100"/>
    </row>
    <row r="72" spans="1:5" x14ac:dyDescent="0.25">
      <c r="A72" s="100"/>
      <c r="B72" s="100"/>
      <c r="C72" s="100"/>
      <c r="D72" s="100"/>
      <c r="E72" s="100"/>
    </row>
    <row r="73" spans="1:5" x14ac:dyDescent="0.25">
      <c r="A73" s="100"/>
      <c r="B73" s="100"/>
      <c r="C73" s="100"/>
      <c r="D73" s="100"/>
      <c r="E73" s="100"/>
    </row>
    <row r="74" spans="1:5" x14ac:dyDescent="0.25">
      <c r="A74" s="100"/>
      <c r="B74" s="100"/>
      <c r="C74" s="100"/>
      <c r="D74" s="100"/>
      <c r="E74" s="100"/>
    </row>
    <row r="75" spans="1:5" x14ac:dyDescent="0.25">
      <c r="A75" s="100"/>
      <c r="B75" s="100"/>
      <c r="C75" s="100"/>
      <c r="D75" s="100"/>
      <c r="E75" s="100"/>
    </row>
    <row r="76" spans="1:5" x14ac:dyDescent="0.25">
      <c r="A76" s="100"/>
      <c r="B76" s="100"/>
      <c r="C76" s="100"/>
      <c r="D76" s="100"/>
      <c r="E76" s="100"/>
    </row>
    <row r="77" spans="1:5" x14ac:dyDescent="0.25">
      <c r="A77" s="100"/>
      <c r="B77" s="100"/>
      <c r="C77" s="100"/>
      <c r="D77" s="100"/>
      <c r="E77" s="100"/>
    </row>
    <row r="78" spans="1:5" x14ac:dyDescent="0.25">
      <c r="A78" s="100"/>
      <c r="B78" s="100"/>
      <c r="C78" s="100"/>
      <c r="D78" s="100"/>
      <c r="E78" s="100"/>
    </row>
    <row r="79" spans="1:5" x14ac:dyDescent="0.25">
      <c r="A79" s="100"/>
      <c r="B79" s="100"/>
      <c r="C79" s="100"/>
      <c r="D79" s="100"/>
      <c r="E79" s="100"/>
    </row>
    <row r="80" spans="1:5" x14ac:dyDescent="0.25">
      <c r="A80" s="100"/>
      <c r="B80" s="100"/>
      <c r="C80" s="100"/>
      <c r="D80" s="100"/>
      <c r="E80" s="100"/>
    </row>
    <row r="81" spans="1:5" x14ac:dyDescent="0.25">
      <c r="A81" s="100"/>
      <c r="B81" s="100"/>
      <c r="C81" s="100"/>
      <c r="D81" s="100"/>
      <c r="E81" s="100"/>
    </row>
    <row r="82" spans="1:5" x14ac:dyDescent="0.25">
      <c r="A82" s="100"/>
      <c r="B82" s="100"/>
      <c r="C82" s="100"/>
      <c r="D82" s="100"/>
      <c r="E82" s="100"/>
    </row>
    <row r="83" spans="1:5" x14ac:dyDescent="0.25">
      <c r="A83" s="100"/>
      <c r="B83" s="100"/>
      <c r="C83" s="100"/>
      <c r="D83" s="100"/>
      <c r="E83" s="100"/>
    </row>
    <row r="84" spans="1:5" x14ac:dyDescent="0.25">
      <c r="A84" s="100"/>
      <c r="B84" s="100"/>
      <c r="C84" s="100"/>
      <c r="D84" s="100"/>
      <c r="E84" s="100"/>
    </row>
    <row r="85" spans="1:5" x14ac:dyDescent="0.25">
      <c r="A85" s="100"/>
      <c r="B85" s="100"/>
      <c r="C85" s="100"/>
      <c r="D85" s="100"/>
      <c r="E85" s="100"/>
    </row>
    <row r="86" spans="1:5" x14ac:dyDescent="0.25">
      <c r="A86" s="100"/>
      <c r="B86" s="100"/>
      <c r="C86" s="100"/>
      <c r="D86" s="100"/>
      <c r="E86" s="100"/>
    </row>
    <row r="87" spans="1:5" x14ac:dyDescent="0.25">
      <c r="A87" s="100"/>
      <c r="B87" s="100"/>
      <c r="C87" s="100"/>
      <c r="D87" s="100"/>
      <c r="E87" s="100"/>
    </row>
    <row r="88" spans="1:5" x14ac:dyDescent="0.25">
      <c r="A88" s="100"/>
      <c r="B88" s="100"/>
      <c r="C88" s="100"/>
      <c r="D88" s="100"/>
      <c r="E88" s="100"/>
    </row>
    <row r="89" spans="1:5" x14ac:dyDescent="0.25">
      <c r="A89" s="100"/>
      <c r="B89" s="100"/>
      <c r="C89" s="100"/>
      <c r="D89" s="100"/>
      <c r="E89" s="100"/>
    </row>
    <row r="90" spans="1:5" x14ac:dyDescent="0.25">
      <c r="A90" s="100"/>
      <c r="B90" s="100"/>
      <c r="C90" s="100"/>
      <c r="D90" s="100"/>
      <c r="E90" s="100"/>
    </row>
    <row r="91" spans="1:5" x14ac:dyDescent="0.25">
      <c r="A91" s="100"/>
      <c r="B91" s="100"/>
      <c r="C91" s="100"/>
      <c r="D91" s="100"/>
      <c r="E91" s="100"/>
    </row>
    <row r="92" spans="1:5" x14ac:dyDescent="0.25">
      <c r="A92" s="100"/>
      <c r="B92" s="100"/>
      <c r="C92" s="100"/>
      <c r="D92" s="100"/>
      <c r="E92" s="100"/>
    </row>
    <row r="93" spans="1:5" x14ac:dyDescent="0.25">
      <c r="A93" s="100"/>
      <c r="B93" s="100"/>
      <c r="C93" s="100"/>
      <c r="D93" s="100"/>
      <c r="E93" s="100"/>
    </row>
    <row r="94" spans="1:5" x14ac:dyDescent="0.25">
      <c r="A94" s="100"/>
      <c r="B94" s="100"/>
      <c r="C94" s="100"/>
      <c r="D94" s="100"/>
      <c r="E94" s="100"/>
    </row>
    <row r="95" spans="1:5" x14ac:dyDescent="0.25">
      <c r="A95" s="100"/>
      <c r="B95" s="100"/>
      <c r="C95" s="100"/>
      <c r="D95" s="100"/>
      <c r="E95" s="100"/>
    </row>
    <row r="96" spans="1:5" x14ac:dyDescent="0.25">
      <c r="A96" s="100"/>
      <c r="B96" s="100"/>
      <c r="C96" s="100"/>
      <c r="D96" s="100"/>
      <c r="E96" s="100"/>
    </row>
    <row r="97" spans="1:5" x14ac:dyDescent="0.25">
      <c r="A97" s="100"/>
      <c r="B97" s="100"/>
      <c r="C97" s="100"/>
      <c r="D97" s="100"/>
      <c r="E97" s="100"/>
    </row>
    <row r="98" spans="1:5" x14ac:dyDescent="0.25">
      <c r="A98" s="100"/>
      <c r="B98" s="100"/>
      <c r="C98" s="100"/>
      <c r="D98" s="100"/>
      <c r="E98" s="100"/>
    </row>
    <row r="99" spans="1:5" x14ac:dyDescent="0.25">
      <c r="A99" s="100"/>
      <c r="B99" s="100"/>
      <c r="C99" s="100"/>
      <c r="D99" s="100"/>
      <c r="E99" s="100"/>
    </row>
    <row r="100" spans="1:5" x14ac:dyDescent="0.25">
      <c r="A100" s="100"/>
      <c r="B100" s="100"/>
      <c r="C100" s="100"/>
      <c r="D100" s="100"/>
      <c r="E100" s="100"/>
    </row>
    <row r="101" spans="1:5" x14ac:dyDescent="0.25">
      <c r="A101" s="100"/>
      <c r="B101" s="100"/>
      <c r="C101" s="100"/>
      <c r="D101" s="100"/>
      <c r="E101" s="100"/>
    </row>
    <row r="102" spans="1:5" x14ac:dyDescent="0.25">
      <c r="A102" s="100"/>
      <c r="B102" s="100"/>
      <c r="C102" s="100"/>
      <c r="D102" s="100"/>
      <c r="E102" s="100"/>
    </row>
    <row r="103" spans="1:5" x14ac:dyDescent="0.25">
      <c r="A103" s="100"/>
      <c r="B103" s="100"/>
      <c r="C103" s="100"/>
      <c r="D103" s="100"/>
      <c r="E103" s="100"/>
    </row>
    <row r="104" spans="1:5" x14ac:dyDescent="0.25">
      <c r="A104" s="100"/>
      <c r="B104" s="100"/>
      <c r="C104" s="100"/>
      <c r="D104" s="100"/>
      <c r="E104" s="100"/>
    </row>
    <row r="105" spans="1:5" x14ac:dyDescent="0.25">
      <c r="A105" s="100"/>
      <c r="B105" s="100"/>
      <c r="C105" s="100"/>
      <c r="D105" s="100"/>
      <c r="E105" s="100"/>
    </row>
    <row r="106" spans="1:5" x14ac:dyDescent="0.25">
      <c r="A106" s="100"/>
      <c r="B106" s="100"/>
      <c r="C106" s="100"/>
      <c r="D106" s="100"/>
      <c r="E106" s="100"/>
    </row>
    <row r="107" spans="1:5" x14ac:dyDescent="0.25">
      <c r="A107" s="100"/>
      <c r="B107" s="100"/>
      <c r="C107" s="100"/>
      <c r="D107" s="100"/>
      <c r="E107" s="100"/>
    </row>
  </sheetData>
  <mergeCells count="1">
    <mergeCell ref="B1:E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2"/>
  <sheetViews>
    <sheetView topLeftCell="A28" workbookViewId="0">
      <selection activeCell="A3" sqref="A3"/>
    </sheetView>
  </sheetViews>
  <sheetFormatPr defaultRowHeight="15" x14ac:dyDescent="0.25"/>
  <cols>
    <col min="1" max="1" width="22.85546875" customWidth="1"/>
    <col min="2" max="2" width="17.85546875" customWidth="1"/>
    <col min="3" max="3" width="32.140625" bestFit="1" customWidth="1"/>
    <col min="4" max="4" width="19" customWidth="1"/>
    <col min="5" max="5" width="134.42578125" bestFit="1" customWidth="1"/>
  </cols>
  <sheetData>
    <row r="1" spans="1:5" ht="26.25" x14ac:dyDescent="0.4">
      <c r="B1" s="128" t="s">
        <v>204</v>
      </c>
      <c r="C1" s="128"/>
      <c r="D1" s="128"/>
      <c r="E1" s="128"/>
    </row>
    <row r="2" spans="1:5" x14ac:dyDescent="0.25">
      <c r="A2" s="103" t="s">
        <v>130</v>
      </c>
      <c r="B2" s="103" t="s">
        <v>131</v>
      </c>
      <c r="C2" s="103" t="s">
        <v>136</v>
      </c>
      <c r="D2" s="103" t="s">
        <v>132</v>
      </c>
      <c r="E2" s="104" t="s">
        <v>133</v>
      </c>
    </row>
    <row r="3" spans="1:5" x14ac:dyDescent="0.25">
      <c r="A3" s="99" t="s">
        <v>128</v>
      </c>
      <c r="B3" s="100" t="s">
        <v>35</v>
      </c>
      <c r="C3" s="100" t="s">
        <v>166</v>
      </c>
      <c r="D3" s="100" t="s">
        <v>164</v>
      </c>
      <c r="E3" s="102" t="s">
        <v>167</v>
      </c>
    </row>
    <row r="4" spans="1:5" x14ac:dyDescent="0.25">
      <c r="A4" s="100"/>
      <c r="B4" s="100" t="s">
        <v>53</v>
      </c>
      <c r="C4" s="100" t="s">
        <v>137</v>
      </c>
      <c r="D4" s="100" t="s">
        <v>164</v>
      </c>
      <c r="E4" s="102" t="s">
        <v>150</v>
      </c>
    </row>
    <row r="5" spans="1:5" x14ac:dyDescent="0.25">
      <c r="A5" s="100"/>
      <c r="B5" s="100"/>
      <c r="C5" s="100"/>
      <c r="D5" s="100"/>
      <c r="E5" s="102"/>
    </row>
    <row r="6" spans="1:5" x14ac:dyDescent="0.25">
      <c r="A6" s="103" t="s">
        <v>130</v>
      </c>
      <c r="B6" s="103" t="s">
        <v>131</v>
      </c>
      <c r="C6" s="103" t="s">
        <v>136</v>
      </c>
      <c r="D6" s="103" t="s">
        <v>132</v>
      </c>
      <c r="E6" s="104" t="s">
        <v>133</v>
      </c>
    </row>
    <row r="7" spans="1:5" x14ac:dyDescent="0.25">
      <c r="A7" s="99" t="s">
        <v>179</v>
      </c>
      <c r="B7" s="100" t="s">
        <v>41</v>
      </c>
      <c r="C7" s="100" t="s">
        <v>137</v>
      </c>
      <c r="D7" s="100" t="s">
        <v>182</v>
      </c>
      <c r="E7" s="102" t="s">
        <v>167</v>
      </c>
    </row>
    <row r="8" spans="1:5" x14ac:dyDescent="0.25">
      <c r="A8" s="100"/>
      <c r="B8" s="100" t="s">
        <v>52</v>
      </c>
      <c r="C8" s="100" t="s">
        <v>180</v>
      </c>
      <c r="D8" s="100" t="s">
        <v>182</v>
      </c>
      <c r="E8" s="102" t="s">
        <v>150</v>
      </c>
    </row>
    <row r="9" spans="1:5" x14ac:dyDescent="0.25">
      <c r="A9" s="100"/>
      <c r="B9" s="100" t="s">
        <v>59</v>
      </c>
      <c r="C9" s="100" t="s">
        <v>181</v>
      </c>
      <c r="D9" s="100" t="s">
        <v>182</v>
      </c>
      <c r="E9" s="102" t="s">
        <v>183</v>
      </c>
    </row>
    <row r="10" spans="1:5" x14ac:dyDescent="0.25">
      <c r="A10" s="100"/>
      <c r="B10" s="100"/>
      <c r="C10" s="100"/>
      <c r="D10" s="100"/>
      <c r="E10" s="102"/>
    </row>
    <row r="11" spans="1:5" x14ac:dyDescent="0.25">
      <c r="A11" s="103" t="s">
        <v>131</v>
      </c>
      <c r="B11" s="103" t="s">
        <v>131</v>
      </c>
      <c r="C11" s="103" t="s">
        <v>136</v>
      </c>
      <c r="D11" s="103" t="s">
        <v>132</v>
      </c>
      <c r="E11" s="104" t="s">
        <v>133</v>
      </c>
    </row>
    <row r="12" spans="1:5" x14ac:dyDescent="0.25">
      <c r="A12" s="99" t="s">
        <v>89</v>
      </c>
      <c r="B12" s="100" t="s">
        <v>34</v>
      </c>
      <c r="C12" s="100" t="s">
        <v>166</v>
      </c>
      <c r="D12" s="100" t="s">
        <v>191</v>
      </c>
      <c r="E12" s="102" t="s">
        <v>202</v>
      </c>
    </row>
    <row r="13" spans="1:5" x14ac:dyDescent="0.25">
      <c r="A13" s="100"/>
      <c r="B13" s="100" t="s">
        <v>14</v>
      </c>
      <c r="C13" s="100" t="s">
        <v>139</v>
      </c>
      <c r="D13" s="100" t="s">
        <v>191</v>
      </c>
      <c r="E13" s="102" t="s">
        <v>214</v>
      </c>
    </row>
    <row r="14" spans="1:5" x14ac:dyDescent="0.25">
      <c r="A14" s="100"/>
      <c r="B14" s="100" t="s">
        <v>23</v>
      </c>
      <c r="C14" s="100" t="s">
        <v>187</v>
      </c>
      <c r="D14" s="100" t="s">
        <v>191</v>
      </c>
      <c r="E14" s="102" t="s">
        <v>203</v>
      </c>
    </row>
    <row r="15" spans="1:5" x14ac:dyDescent="0.25">
      <c r="A15" s="100"/>
      <c r="B15" s="100" t="s">
        <v>48</v>
      </c>
      <c r="C15" s="100" t="s">
        <v>137</v>
      </c>
      <c r="D15" s="100" t="s">
        <v>191</v>
      </c>
      <c r="E15" s="102" t="s">
        <v>150</v>
      </c>
    </row>
    <row r="16" spans="1:5" x14ac:dyDescent="0.25">
      <c r="A16" s="100"/>
      <c r="B16" s="100" t="s">
        <v>54</v>
      </c>
      <c r="C16" s="100" t="s">
        <v>180</v>
      </c>
      <c r="D16" s="100" t="s">
        <v>191</v>
      </c>
      <c r="E16" s="102" t="s">
        <v>150</v>
      </c>
    </row>
    <row r="17" spans="1:5" x14ac:dyDescent="0.25">
      <c r="A17" s="100"/>
      <c r="B17" s="100" t="s">
        <v>57</v>
      </c>
      <c r="C17" s="100" t="s">
        <v>181</v>
      </c>
      <c r="D17" s="100" t="s">
        <v>191</v>
      </c>
      <c r="E17" s="102" t="s">
        <v>150</v>
      </c>
    </row>
    <row r="18" spans="1:5" x14ac:dyDescent="0.25">
      <c r="A18" s="100"/>
      <c r="B18" s="100"/>
      <c r="C18" s="100"/>
      <c r="D18" s="100"/>
      <c r="E18" s="102"/>
    </row>
    <row r="19" spans="1:5" x14ac:dyDescent="0.25">
      <c r="A19" s="103" t="s">
        <v>131</v>
      </c>
      <c r="B19" s="103" t="s">
        <v>131</v>
      </c>
      <c r="C19" s="103" t="s">
        <v>136</v>
      </c>
      <c r="D19" s="103" t="s">
        <v>132</v>
      </c>
      <c r="E19" s="104" t="s">
        <v>133</v>
      </c>
    </row>
    <row r="20" spans="1:5" x14ac:dyDescent="0.25">
      <c r="A20" s="99" t="s">
        <v>91</v>
      </c>
      <c r="B20" s="100" t="s">
        <v>77</v>
      </c>
      <c r="C20" s="100" t="s">
        <v>189</v>
      </c>
      <c r="D20" s="100" t="s">
        <v>192</v>
      </c>
      <c r="E20" s="102" t="s">
        <v>215</v>
      </c>
    </row>
    <row r="21" spans="1:5" x14ac:dyDescent="0.25">
      <c r="A21" s="100"/>
      <c r="B21" s="100" t="s">
        <v>105</v>
      </c>
      <c r="C21" s="100" t="s">
        <v>190</v>
      </c>
      <c r="D21" s="100" t="s">
        <v>192</v>
      </c>
      <c r="E21" s="102" t="s">
        <v>216</v>
      </c>
    </row>
    <row r="22" spans="1:5" x14ac:dyDescent="0.25">
      <c r="A22" s="100"/>
      <c r="B22" s="100"/>
      <c r="C22" s="100"/>
      <c r="D22" s="100"/>
      <c r="E22" s="102"/>
    </row>
    <row r="23" spans="1:5" x14ac:dyDescent="0.25">
      <c r="A23" s="103" t="s">
        <v>131</v>
      </c>
      <c r="B23" s="103" t="s">
        <v>131</v>
      </c>
      <c r="C23" s="103" t="s">
        <v>136</v>
      </c>
      <c r="D23" s="103" t="s">
        <v>132</v>
      </c>
      <c r="E23" s="104" t="s">
        <v>133</v>
      </c>
    </row>
    <row r="24" spans="1:5" x14ac:dyDescent="0.25">
      <c r="A24" s="99" t="s">
        <v>196</v>
      </c>
      <c r="B24" s="100" t="s">
        <v>15</v>
      </c>
      <c r="C24" s="100" t="s">
        <v>139</v>
      </c>
      <c r="D24" s="100" t="s">
        <v>198</v>
      </c>
      <c r="E24" s="102" t="s">
        <v>167</v>
      </c>
    </row>
    <row r="25" spans="1:5" x14ac:dyDescent="0.25">
      <c r="A25" s="100"/>
      <c r="B25" s="100"/>
      <c r="C25" s="100"/>
      <c r="D25" s="100"/>
      <c r="E25" s="102"/>
    </row>
    <row r="26" spans="1:5" x14ac:dyDescent="0.25">
      <c r="A26" s="99" t="s">
        <v>199</v>
      </c>
      <c r="B26" s="100" t="s">
        <v>197</v>
      </c>
      <c r="C26" s="100" t="s">
        <v>200</v>
      </c>
      <c r="D26" s="100" t="s">
        <v>201</v>
      </c>
      <c r="E26" s="102" t="s">
        <v>167</v>
      </c>
    </row>
    <row r="27" spans="1:5" x14ac:dyDescent="0.25">
      <c r="A27" s="100"/>
      <c r="B27" s="100"/>
      <c r="C27" s="100"/>
      <c r="D27" s="100"/>
      <c r="E27" s="102"/>
    </row>
    <row r="28" spans="1:5" x14ac:dyDescent="0.25">
      <c r="A28" s="103" t="s">
        <v>130</v>
      </c>
      <c r="B28" s="103" t="s">
        <v>131</v>
      </c>
      <c r="C28" s="103" t="s">
        <v>136</v>
      </c>
      <c r="D28" s="103" t="s">
        <v>132</v>
      </c>
      <c r="E28" s="104" t="s">
        <v>133</v>
      </c>
    </row>
    <row r="29" spans="1:5" x14ac:dyDescent="0.25">
      <c r="A29" s="99" t="s">
        <v>168</v>
      </c>
      <c r="B29" s="100" t="s">
        <v>19</v>
      </c>
      <c r="C29" s="100" t="s">
        <v>139</v>
      </c>
      <c r="D29" s="100" t="s">
        <v>176</v>
      </c>
      <c r="E29" s="102" t="s">
        <v>170</v>
      </c>
    </row>
    <row r="30" spans="1:5" x14ac:dyDescent="0.25">
      <c r="A30" s="99"/>
      <c r="B30" s="100" t="s">
        <v>39</v>
      </c>
      <c r="C30" s="100" t="s">
        <v>137</v>
      </c>
      <c r="D30" s="100" t="s">
        <v>176</v>
      </c>
      <c r="E30" s="102" t="s">
        <v>167</v>
      </c>
    </row>
    <row r="31" spans="1:5" x14ac:dyDescent="0.25">
      <c r="A31" s="99"/>
      <c r="B31" s="100" t="s">
        <v>67</v>
      </c>
      <c r="C31" s="100" t="s">
        <v>169</v>
      </c>
      <c r="D31" s="100" t="s">
        <v>176</v>
      </c>
      <c r="E31" s="102" t="s">
        <v>150</v>
      </c>
    </row>
    <row r="32" spans="1:5" x14ac:dyDescent="0.25">
      <c r="B32" s="107" t="s">
        <v>20</v>
      </c>
      <c r="C32" s="100" t="s">
        <v>143</v>
      </c>
      <c r="D32" s="100" t="s">
        <v>176</v>
      </c>
      <c r="E32" s="108" t="s">
        <v>177</v>
      </c>
    </row>
    <row r="33" spans="1:5" x14ac:dyDescent="0.25">
      <c r="A33" s="103" t="s">
        <v>130</v>
      </c>
      <c r="B33" s="103" t="s">
        <v>131</v>
      </c>
      <c r="C33" s="103"/>
      <c r="D33" s="103" t="s">
        <v>132</v>
      </c>
      <c r="E33" s="105"/>
    </row>
    <row r="34" spans="1:5" x14ac:dyDescent="0.25">
      <c r="A34" s="99" t="s">
        <v>88</v>
      </c>
      <c r="B34" s="100" t="s">
        <v>172</v>
      </c>
      <c r="C34" s="100" t="s">
        <v>139</v>
      </c>
      <c r="D34" s="100" t="s">
        <v>171</v>
      </c>
      <c r="E34" s="102" t="s">
        <v>142</v>
      </c>
    </row>
    <row r="35" spans="1:5" x14ac:dyDescent="0.25">
      <c r="A35" s="101"/>
      <c r="B35" s="100" t="s">
        <v>21</v>
      </c>
      <c r="C35" s="100" t="s">
        <v>143</v>
      </c>
      <c r="D35" s="100" t="s">
        <v>171</v>
      </c>
      <c r="E35" s="102" t="s">
        <v>142</v>
      </c>
    </row>
    <row r="36" spans="1:5" x14ac:dyDescent="0.25">
      <c r="A36" s="101"/>
      <c r="B36" s="100" t="s">
        <v>55</v>
      </c>
      <c r="C36" s="100" t="s">
        <v>137</v>
      </c>
      <c r="D36" s="100" t="s">
        <v>171</v>
      </c>
      <c r="E36" s="102" t="s">
        <v>150</v>
      </c>
    </row>
    <row r="37" spans="1:5" x14ac:dyDescent="0.25">
      <c r="A37" s="100"/>
      <c r="B37" s="100" t="s">
        <v>61</v>
      </c>
      <c r="C37" s="100" t="s">
        <v>169</v>
      </c>
      <c r="D37" s="100" t="s">
        <v>171</v>
      </c>
      <c r="E37" s="102" t="s">
        <v>150</v>
      </c>
    </row>
    <row r="38" spans="1:5" x14ac:dyDescent="0.25">
      <c r="A38" s="103" t="s">
        <v>130</v>
      </c>
      <c r="B38" s="103" t="s">
        <v>131</v>
      </c>
      <c r="C38" s="103"/>
      <c r="D38" s="103" t="s">
        <v>132</v>
      </c>
      <c r="E38" s="105"/>
    </row>
    <row r="39" spans="1:5" x14ac:dyDescent="0.25">
      <c r="A39" s="99" t="s">
        <v>173</v>
      </c>
      <c r="B39" s="100" t="s">
        <v>12</v>
      </c>
      <c r="C39" s="100" t="s">
        <v>139</v>
      </c>
      <c r="D39" s="100" t="s">
        <v>174</v>
      </c>
      <c r="E39" s="102" t="s">
        <v>178</v>
      </c>
    </row>
    <row r="40" spans="1:5" x14ac:dyDescent="0.25">
      <c r="A40" s="101"/>
      <c r="B40" s="100" t="s">
        <v>60</v>
      </c>
      <c r="C40" s="100" t="s">
        <v>175</v>
      </c>
      <c r="D40" s="100" t="s">
        <v>174</v>
      </c>
      <c r="E40" s="102" t="s">
        <v>150</v>
      </c>
    </row>
    <row r="41" spans="1:5" x14ac:dyDescent="0.25">
      <c r="A41" s="106"/>
      <c r="B41" s="100"/>
      <c r="C41" s="100"/>
      <c r="D41" s="100"/>
      <c r="E41" s="102"/>
    </row>
    <row r="42" spans="1:5" x14ac:dyDescent="0.25">
      <c r="A42" s="101"/>
      <c r="B42" s="100"/>
      <c r="C42" s="100"/>
      <c r="D42" s="100"/>
      <c r="E42" s="102"/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Breakdown Report </vt:lpstr>
      <vt:lpstr>MINING</vt:lpstr>
      <vt:lpstr>ENGINEERING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Breet</dc:creator>
  <cp:lastModifiedBy>Remarco Joseph</cp:lastModifiedBy>
  <cp:lastPrinted>2025-09-14T04:54:16Z</cp:lastPrinted>
  <dcterms:created xsi:type="dcterms:W3CDTF">2020-01-17T12:36:29Z</dcterms:created>
  <dcterms:modified xsi:type="dcterms:W3CDTF">2026-01-30T12:55:24Z</dcterms:modified>
</cp:coreProperties>
</file>